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Dairy" sheetId="4" state="visible" r:id="rId6"/>
    <sheet name="Beef" sheetId="5" state="visible" r:id="rId7"/>
    <sheet name="Eggs" sheetId="6" state="visible" r:id="rId8"/>
    <sheet name="Broiler" sheetId="7" state="visible" r:id="rId9"/>
    <sheet name="Pork" sheetId="8" state="visible" r:id="rId10"/>
    <sheet name="Pollock" sheetId="9" state="visible" r:id="rId11"/>
    <sheet name="Salmon" sheetId="10" state="visible" r:id="rId12"/>
    <sheet name="Sensitivity" sheetId="11" state="visible" r:id="rId13"/>
    <sheet name="Ranges" sheetId="12" state="visible" r:id="rId14"/>
    <sheet name="Exit" sheetId="13" state="visible" r:id="rId15"/>
    <sheet name="Sourc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<sst xmlns="http://schemas.openxmlformats.org/spreadsheetml/2006/main" count="4091" uniqueCount="1075">
  <si>
    <t xml:space="preserve">Joint-production equilibrium displacement model for animal-product markets</t>
  </si>
  <si>
    <t xml:space="preserve">Version 2026-10-17. Companion workbook to the paper 'Elasticity and joint production in animal-product markets'.</t>
  </si>
  <si>
    <t xml:space="preserve">WHAT IT DOES</t>
  </si>
  <si>
    <t xml:space="preserve">For each animal (dairy cow, fed steer, layer hen, broiler, hog, Alaska pollock, farmed salmon) the workbook lists the products of one animal unit, their prices and value shares,</t>
  </si>
  <si>
    <t xml:space="preserve">and computes for each product the displacement factor DF: the share of a demand reduction in that product (e.g. by a novel ingredient) that shows up as fewer animals produced,</t>
  </si>
  <si>
    <t xml:space="preserve">in the short run and the long run. It also computes the price fall of the product, the floor price (next-best use) for by-products, and the animal reduction if the product were fully replaced.</t>
  </si>
  <si>
    <t xml:space="preserve">HOW TO USE</t>
  </si>
  <si>
    <t xml:space="preserve">1. Assumptions sheet: supply elasticities per animal (short run, long run) and the size of the demand shift. Blue cells are inputs.</t>
  </si>
  <si>
    <t xml:space="preserve">2. Branch sheets (Dairy, Beef, Eggs, Broiler, Pork, Pollock, Salmon): inputs block (yields, prices, allowances; blue), then table A (products), table B (streams: edit demand elasticities and floor ratios), table C (routes: raw-volume shares of fungible routes), table D (aggregates).</t>
  </si>
  <si>
    <t xml:space="preserve">3. Summary sheet: all products side by side, linked (green) to the branch sheets, with three horizons (within a year, 3-5 years, constant-cost limit). Sensitivity sheet: the single-product formula across elasticities, and a target calculator. Exit sheet: price-cap (perfect substitute) scenarios from the exact non-linear model. Ranges sheet: Monte Carlo 10th-90th percentiles over the elasticity ranges. The Exit and Ranges sheets are computed in the companion Python model and pasted as values.</t>
  </si>
  <si>
    <t xml:space="preserve">4. Dairy and Eggs have a scenario selector (yellow cell) switching between two price years, because by-product value shares move a lot with prices.</t>
  </si>
  <si>
    <t xml:space="preserve">Colour legend: blue = hard-coded input you can edit; black = formula; green = link to another sheet; yellow fill = scenario selector.</t>
  </si>
  <si>
    <t xml:space="preserve">MODEL (log-differential equilibrium displacement model, proportional processing margins)</t>
  </si>
  <si>
    <t xml:space="preserve">Animal supply: E(A) = eps_s * E(P_A). Each animal unit yields FIXED streams (carcass parts, cattle sales, spent hens; value shares s_k) and a RAW commodity (milk, eggs; value share W_raw) that processors allocate across fungible routes r with raw-volume shares a_r; streams k within a route are joint products in fixed proportions (shares S_k); sub-products within a stream are fungible (shares w_i).</t>
  </si>
  <si>
    <t xml:space="preserve">Route derived-demand elasticity (Houck 1964): eps_r = -1 / sum_k (S_k / |eps_k|).   Raw-commodity demand elasticity: eps_raw = sum_r a_r * eps_r (volume-weighted).   Animal-level inelasticity: H = sum over fixed routes of W_r/|eps_r| + W_raw/|eps_raw|;  eps_bar = -1/H.</t>
  </si>
  <si>
    <t xml:space="preserve">Displacement factor of stream k: DF_k = eps_s * M_r * (S_k / |eps_k|) / (1 + eps_s H), with M_r = W_r for a fixed route and M_r = (W_raw/|eps_raw|) a_r |eps_r| for a fungible route.   Sub-product i: DF_i = w_i * DF_k.   Bundle: DF = eps_s H/(1 + eps_s H).   Constant-cost limit (eps_s -&gt; infinity): DF_k -&gt; M_r (S_k/|eps_k|)/H, the product's weight in the animal's demand.</t>
  </si>
  <si>
    <t xml:space="preserve">Limiting cases: all streams fixed -&gt; DF_k = eps_s*(s_k/|eps_k|)/(1+eps_s*H_fixed) with H_fixed = sum s_k/|eps_k| (Houck); every stream its own route -&gt; DF_k = eps_s*s_k/(eps_s+|eps_fungible|); single product -&gt; DF = eps_s/(eps_s+|eps_d|).</t>
  </si>
  <si>
    <t xml:space="preserve">Price of stream k after a shift kappa_k (per unit): E(A) = DF_k; farm price E(P_A) = E(A)/eps_s; raw price E(P_raw) = (E(A) - a_r kappa_r)/eps_raw with kappa_r = |eps_r| S_k/|eps_k|; route quantity E(Q_r) = eps_r E(P_raw) + kappa_r; stream price E(P_k) = (E(Q_r) - kappa_k)/eps_k (fixed stream: (E(A) - kappa_k)/eps_k).</t>
  </si>
  <si>
    <t xml:space="preserve">Floor: a stream with an external outlet (feed, rendering, export at world price) cannot fall below P_floor; the shift at which it gets there is kappa_floor = exp(ln(P_floor/P_now)/g_k) - 1, g_k = E(P_k) per unit shift. Beyond it, further shifts do not move the animal.</t>
  </si>
  <si>
    <t xml:space="preserve">Validity: a local (first-order) approximation; checked against exact constant-elasticity equilibria: error &lt; 2% of the effect at a 10% shift, ~5% at 25%. Full-replacement figures are linear extrapolations (upper bounds in magnitude).</t>
  </si>
  <si>
    <t xml:space="preserve">SOURCE TAGS</t>
  </si>
  <si>
    <t xml:space="preserve">[S] sourced from public data (URL on the Sources sheet). [E] estimate derived by the author from sourced inputs. [A] assumption / judgement. Demand elasticities for by-product streams are [A] unless marked otherwise; they are the main sensitivity.</t>
  </si>
  <si>
    <t xml:space="preserve">Prices are a snapshot (date stated on each sheet). Value shares, and therefore DF, change with relative prices; this is a feature of the problem, not a bug of the workbook.</t>
  </si>
  <si>
    <t xml:space="preserve">Summary: displacement factors and floors by product (linked to branch sheets)</t>
  </si>
  <si>
    <t xml:space="preserve">DF = share of a demand reduction in the product that becomes a reduction in animals produced, at three horizons (within a year; 3-5 years; constant-cost limit, where supply is perfectly elastic). 1 - DF = the total discount, the elasticity discount 1/(1+eps_s*H) and the joint-production discount together; DF(3-5 years)/DF(limit) is the bundle factor, so 1 - that ratio is the elasticity discount alone. Floor = next-best use as a share of the current price.</t>
  </si>
  <si>
    <t xml:space="preserve">Branch</t>
  </si>
  <si>
    <t xml:space="preserve">Product</t>
  </si>
  <si>
    <t xml:space="preserve">Share of animal value</t>
  </si>
  <si>
    <t xml:space="preserve">Demand elasticity (stream)</t>
  </si>
  <si>
    <t xml:space="preserve">DF short run (within a year)</t>
  </si>
  <si>
    <t xml:space="preserve">DF long run (3-5 years)</t>
  </si>
  <si>
    <t xml:space="preserve">DF constant-cost limit</t>
  </si>
  <si>
    <t xml:space="preserve">Total discount (1-DF, 3-5 years)</t>
  </si>
  <si>
    <t xml:space="preserve">Stream price change for a 10% replacement</t>
  </si>
  <si>
    <t xml:space="preserve">Animal change if fully replaced (LR, linear, floor-capped)</t>
  </si>
  <si>
    <t xml:space="preserve">Floor ratio (P_floor/P_now)</t>
  </si>
  <si>
    <t xml:space="preserve">Biotech route most likely to target it</t>
  </si>
  <si>
    <t xml:space="preserve">Technical reachability</t>
  </si>
  <si>
    <t xml:space="preserve">Animal mass per kg product (LR)</t>
  </si>
  <si>
    <t xml:space="preserve">Reading</t>
  </si>
  <si>
    <t xml:space="preserve">Dairy</t>
  </si>
  <si>
    <t xml:space="preserve">Precision fermentation (whey+casein) / plant-based milks</t>
  </si>
  <si>
    <t xml:space="preserve">Medium</t>
  </si>
  <si>
    <t xml:space="preserve">Plant-based / PF casein and whey</t>
  </si>
  <si>
    <t xml:space="preserve">Plant oils; fermentation-derived fats</t>
  </si>
  <si>
    <t xml:space="preserve">High</t>
  </si>
  <si>
    <t xml:space="preserve">PF casein + lactose blends</t>
  </si>
  <si>
    <t xml:space="preserve">PF casein (micelle-forming) + plant fats</t>
  </si>
  <si>
    <t xml:space="preserve">Low-medium</t>
  </si>
  <si>
    <t xml:space="preserve">PF beta-lactoglobulin</t>
  </si>
  <si>
    <t xml:space="preserve">none economic (floor-priced)</t>
  </si>
  <si>
    <t xml:space="preserve">n/a</t>
  </si>
  <si>
    <t xml:space="preserve">none (floor-priced)</t>
  </si>
  <si>
    <t xml:space="preserve">none</t>
  </si>
  <si>
    <t xml:space="preserve">Plant-based / mycoprotein mince, blends</t>
  </si>
  <si>
    <t xml:space="preserve">Beef</t>
  </si>
  <si>
    <t xml:space="preserve">Cultivated / mycoprotein whole-cut</t>
  </si>
  <si>
    <t xml:space="preserve">Low</t>
  </si>
  <si>
    <t xml:space="preserve">Cultivated / plant-based whole-cut</t>
  </si>
  <si>
    <t xml:space="preserve">Plant-based whole-cut</t>
  </si>
  <si>
    <t xml:space="preserve">Plant-based / mycoprotein mince, blends, cultivated fat</t>
  </si>
  <si>
    <t xml:space="preserve">Mycelium / bio-based leather</t>
  </si>
  <si>
    <t xml:space="preserve">Oleochemicals / fermentation fats</t>
  </si>
  <si>
    <t xml:space="preserve">SCP / insect meal</t>
  </si>
  <si>
    <t xml:space="preserve">Eggs</t>
  </si>
  <si>
    <t xml:space="preserve">Plant-based liquid egg; PF ovalbumin</t>
  </si>
  <si>
    <t xml:space="preserve">Plant-based egg; PF ovalbumin</t>
  </si>
  <si>
    <t xml:space="preserve">PF ovalbumin / albumen proteins</t>
  </si>
  <si>
    <t xml:space="preserve">Plant lipids / PF</t>
  </si>
  <si>
    <t xml:space="preserve">Broiler</t>
  </si>
  <si>
    <t xml:space="preserve">Plant-based / mycoprotein / cultivated</t>
  </si>
  <si>
    <t xml:space="preserve">as breast</t>
  </si>
  <si>
    <t xml:space="preserve">n/a (bone-in)</t>
  </si>
  <si>
    <t xml:space="preserve">Plant-based / mycoprotein nuggets, hot dogs</t>
  </si>
  <si>
    <t xml:space="preserve">Pork</t>
  </si>
  <si>
    <t xml:space="preserve">Cultivated / plant whole-cut</t>
  </si>
  <si>
    <t xml:space="preserve">Plant-based pulled pork</t>
  </si>
  <si>
    <t xml:space="preserve">Plant-based deli</t>
  </si>
  <si>
    <t xml:space="preserve">Plant-based / mycelium bacon; cultivated fat</t>
  </si>
  <si>
    <t xml:space="preserve">Plant-based sausage, blends</t>
  </si>
  <si>
    <t xml:space="preserve">Fermentation fats / SCP</t>
  </si>
  <si>
    <t xml:space="preserve">Pollock</t>
  </si>
  <si>
    <t xml:space="preserve">Plant-based / mycoprotein fish fingers</t>
  </si>
  <si>
    <t xml:space="preserve">Plant-based / mycoprotein surimi</t>
  </si>
  <si>
    <t xml:space="preserve">as surimi</t>
  </si>
  <si>
    <t xml:space="preserve">SCP, insect, algal meal</t>
  </si>
  <si>
    <t xml:space="preserve">Algal omega-3</t>
  </si>
  <si>
    <t xml:space="preserve">Salmon</t>
  </si>
  <si>
    <t xml:space="preserve">Cultivated / plant-based salmon</t>
  </si>
  <si>
    <t xml:space="preserve">Algal omega-3 / SCP</t>
  </si>
  <si>
    <t xml:space="preserve">Bundle displacement (giving up every product of the animal), for comparison with 'cumulative elasticity' figures in the literature:</t>
  </si>
  <si>
    <t xml:space="preserve">Animal</t>
  </si>
  <si>
    <t xml:space="preserve">DF bundle SR</t>
  </si>
  <si>
    <t xml:space="preserve">DF bundle LR</t>
  </si>
  <si>
    <t xml:space="preserve">DF bundle, constant-cost limit</t>
  </si>
  <si>
    <t xml:space="preserve">Norwood &amp; Lusk (2011) figure</t>
  </si>
  <si>
    <t xml:space="preserve">Global assumptions</t>
  </si>
  <si>
    <t xml:space="preserve">Demand shift applied to a single product (share of its market; negative = replacement)</t>
  </si>
  <si>
    <t xml:space="preserve">Shift</t>
  </si>
  <si>
    <t xml:space="preserve">Animal supply elasticities</t>
  </si>
  <si>
    <t xml:space="preserve">Sheet</t>
  </si>
  <si>
    <t xml:space="preserve">Short run</t>
  </si>
  <si>
    <t xml:space="preserve">Long run</t>
  </si>
  <si>
    <t xml:space="preserve">Source and range</t>
  </si>
  <si>
    <t xml:space="preserve">Dairy cow</t>
  </si>
  <si>
    <t xml:space="preserve">[S] Chavas &amp; Klemme 1986: 0.115 (current year), 0.89 (5-year), 2.46 (10-year); EU medium-run 0.18-0.65 (Bouamra-Mechemache et al. 2005)</t>
  </si>
  <si>
    <t xml:space="preserve">Fed steer</t>
  </si>
  <si>
    <t xml:space="preserve">[S] Wohlgenant 1993 beef supply 0.15 (SR); Lusk &amp; Norwood 2009 LR 0.82; Harrington &amp; Dubman 2008: 1.07</t>
  </si>
  <si>
    <t xml:space="preserve">Layer hen</t>
  </si>
  <si>
    <t xml:space="preserve">[S] Chavas 1980 SR 0.03; Chavas &amp; Johnson 1981 LR ~1; Harrington &amp; Dubman 2008: 1.04</t>
  </si>
  <si>
    <t xml:space="preserve">[S] Kapombe &amp; Colyer 1998 SR 0.07 / LR 0.13; Chavas &amp; Johnson 1982 0.02; Lusk &amp; Norwood 2009 LR 0.70; Harrington &amp; Dubman 1.15</t>
  </si>
  <si>
    <t xml:space="preserve">Hog</t>
  </si>
  <si>
    <t xml:space="preserve">[S] Wohlgenant 1993 hog supply 0.40 (SR); Lusk &amp; Norwood 2009 LR 1.56; Harrington &amp; Dubman 0.79</t>
  </si>
  <si>
    <t xml:space="preserve">Alaska pollock</t>
  </si>
  <si>
    <t xml:space="preserve">[S] quota-managed capture: supply elasticity ~0 (World Bank 2013; estimates 0 to 0.17; can be negative)</t>
  </si>
  <si>
    <t xml:space="preserve">Farmed Atlantic salmon</t>
  </si>
  <si>
    <t xml:space="preserve">[S] Asheim et al. 2011 SR 0.09 / LR 0.14; Steen et al. 1997 LR 1.4-1.6; licences cap Norwegian biomass</t>
  </si>
  <si>
    <t xml:space="preserve">Short run = within a production cycle (months to ~1 year); long run = after herd/flock/capacity adjustment (3-5 years). Milk at a 10-year horizon: 2.5 (Chavas &amp; Klemme). Wild capture under quota: ~0 at any horizon.</t>
  </si>
  <si>
    <t xml:space="preserve">Dairy cow (2026 prices)</t>
  </si>
  <si>
    <t xml:space="preserve">Unit of analysis: per 100 lb milk + pro-rata cattle sales</t>
  </si>
  <si>
    <t xml:space="preserve">Structure: Milk is fungible across routes; cheese and whey are joint in fixed proportions; whey outlets are fungible.</t>
  </si>
  <si>
    <t xml:space="preserve">Prices: USDA AMS announced class prices Sep 2026 (Class I Oct 2026 advance); Dairy Market News Oct 2026 for whey products</t>
  </si>
  <si>
    <t xml:space="preserve">Supply elasticity sources: [S] Chavas &amp; Klemme 1986: 0.115 (current year), 0.89 (5-year), 2.46 (10-year); EU medium-run 0.18-0.65 (Bouamra-Mechemache et al. 2005)</t>
  </si>
  <si>
    <t xml:space="preserve">Animal supply elasticity, short run (eps_s SR)</t>
  </si>
  <si>
    <t xml:space="preserve">Animal supply elasticity, long run (eps_s LR)</t>
  </si>
  <si>
    <t xml:space="preserve">Demand shift applied to one product at a time (share of its market, negative = replacement)</t>
  </si>
  <si>
    <t xml:space="preserve">Inputs (two price scenarios; select 1 = 2026, 2 = 2019-21 in the yellow cell). Values in blue are editable.</t>
  </si>
  <si>
    <t xml:space="preserve">Scenario selector (1 = 2026 prices, 2 = 2019-21 prices)</t>
  </si>
  <si>
    <t xml:space="preserve">Input</t>
  </si>
  <si>
    <t xml:space="preserve">Live value (used by the model)</t>
  </si>
  <si>
    <t xml:space="preserve">Scenario 1: 2026</t>
  </si>
  <si>
    <t xml:space="preserve">Scenario 2: 2019-21</t>
  </si>
  <si>
    <t xml:space="preserve">Unit</t>
  </si>
  <si>
    <t xml:space="preserve">Source / note</t>
  </si>
  <si>
    <t xml:space="preserve">Milk to fluid use (share of raw milk)</t>
  </si>
  <si>
    <t xml:space="preserve">share</t>
  </si>
  <si>
    <t xml:space="preserve">[E] NASS fluid sales ~43 bn lb of 232 bn lb</t>
  </si>
  <si>
    <t xml:space="preserve">Milk to cheese (share)</t>
  </si>
  <si>
    <t xml:space="preserve">[E] 14.8 bn lb cheese / 10.6 lb per cwt / 232 bn lb</t>
  </si>
  <si>
    <t xml:space="preserve">Milk to butter and powder (share)</t>
  </si>
  <si>
    <t xml:space="preserve">[E] residual</t>
  </si>
  <si>
    <t xml:space="preserve">Milk to other manufactured products (share)</t>
  </si>
  <si>
    <t xml:space="preserve">[E] yogurt, ice cream, etc.</t>
  </si>
  <si>
    <t xml:space="preserve">Cheddar yield</t>
  </si>
  <si>
    <t xml:space="preserve">lb per cwt</t>
  </si>
  <si>
    <t xml:space="preserve">[S] Hoard's/CoBank (2020 composition; 11.6 in 2025)</t>
  </si>
  <si>
    <t xml:space="preserve">Whey solids</t>
  </si>
  <si>
    <t xml:space="preserve">lb per cwt cheese milk</t>
  </si>
  <si>
    <t xml:space="preserve">[S] FMMO other-solids factor</t>
  </si>
  <si>
    <t xml:space="preserve">Protein share of whey solids</t>
  </si>
  <si>
    <t xml:space="preserve">[S] 0.8% protein in 6.5% solids whey</t>
  </si>
  <si>
    <t xml:space="preserve">Share of whey protein recovered into WPC/WPI</t>
  </si>
  <si>
    <t xml:space="preserve">[E] NASS 2025 WPC+WPI protein vs liquid whey protein</t>
  </si>
  <si>
    <t xml:space="preserve">Of recovered whey protein, share going to WPC(50-90%) (rest WPI), protein basis</t>
  </si>
  <si>
    <t xml:space="preserve">[S] NASS 2025: 381 m lb WPC x 0.8 vs 214 m lb WPI x 0.9</t>
  </si>
  <si>
    <t xml:space="preserve">Whey solids sold as dry whey (share)</t>
  </si>
  <si>
    <t xml:space="preserve">[E] 845 m lb / ~8.4 bn lb solids</t>
  </si>
  <si>
    <t xml:space="preserve">Whey solids sold as lactose (share)</t>
  </si>
  <si>
    <t xml:space="preserve">[E] 1,137 m lb</t>
  </si>
  <si>
    <t xml:space="preserve">Whey solids to permeate / condensed / feed (share)</t>
  </si>
  <si>
    <t xml:space="preserve">[E] remainder not recovered as food products</t>
  </si>
  <si>
    <t xml:space="preserve">Class I price</t>
  </si>
  <si>
    <t xml:space="preserve">$/cwt</t>
  </si>
  <si>
    <t xml:space="preserve">[S] AMS advanced Class I Oct 2026; 2019-21 approx.</t>
  </si>
  <si>
    <t xml:space="preserve">Class II price</t>
  </si>
  <si>
    <t xml:space="preserve">[S] AMS Sep 2026</t>
  </si>
  <si>
    <t xml:space="preserve">Cheese price (block/barrel survey)</t>
  </si>
  <si>
    <t xml:space="preserve">$/lb</t>
  </si>
  <si>
    <t xml:space="preserve">[S] AMS Sep 2026; 2019 approx.</t>
  </si>
  <si>
    <t xml:space="preserve">FMMO butterfat price</t>
  </si>
  <si>
    <t xml:space="preserve">FMMO nonfat solids price</t>
  </si>
  <si>
    <t xml:space="preserve">WPC 80 price</t>
  </si>
  <si>
    <t xml:space="preserve">[S] DMN Oct 2026 'mostly $9s'; 2019-21 approx. trade level</t>
  </si>
  <si>
    <t xml:space="preserve">WPI price</t>
  </si>
  <si>
    <t xml:space="preserve">[S] DMN Oct 2026 'mostly $14s'; 2019-21 approx.</t>
  </si>
  <si>
    <t xml:space="preserve">Dry whey price</t>
  </si>
  <si>
    <t xml:space="preserve">[S] AMS Sep 2026; 2019-21 ~0.35</t>
  </si>
  <si>
    <t xml:space="preserve">Lactose price</t>
  </si>
  <si>
    <t xml:space="preserve">[S] DMN Oct 2026 mostly 0.66-0.76</t>
  </si>
  <si>
    <t xml:space="preserve">Feed-grade whey / permeate price</t>
  </si>
  <si>
    <t xml:space="preserve">[S] DMN animal-feed dry whey 0.35-0.38</t>
  </si>
  <si>
    <t xml:space="preserve">Make allowance: cheese</t>
  </si>
  <si>
    <t xml:space="preserve">[S] FMMO (Jun 2025 / previous)</t>
  </si>
  <si>
    <t xml:space="preserve">Make allowance: dry whey</t>
  </si>
  <si>
    <t xml:space="preserve">[S] FMMO</t>
  </si>
  <si>
    <t xml:space="preserve">Processing allowance: lactose</t>
  </si>
  <si>
    <t xml:space="preserve">[A]</t>
  </si>
  <si>
    <t xml:space="preserve">Processing allowance: WPC 80</t>
  </si>
  <si>
    <t xml:space="preserve">[A] ultrafiltration + drying</t>
  </si>
  <si>
    <t xml:space="preserve">Processing allowance: WPI</t>
  </si>
  <si>
    <t xml:space="preserve">Processing allowance: feed whey</t>
  </si>
  <si>
    <t xml:space="preserve">Cattle sales (cull cows + calves) as share of dairy gross value</t>
  </si>
  <si>
    <t xml:space="preserve">[S] ERS 2024: 1.94 of 24.94 $/cwt</t>
  </si>
  <si>
    <t xml:space="preserve">Cull cows share of cattle sales (rest calves)</t>
  </si>
  <si>
    <t xml:space="preserve">[E]</t>
  </si>
  <si>
    <t xml:space="preserve">Helper: milk value per cwt (sum of milk products, computed below)</t>
  </si>
  <si>
    <t xml:space="preserve">A. Products of one unit of the animal (sub-products). Blue = editable inputs; black = formulas.</t>
  </si>
  <si>
    <t xml:space="preserve">Sub-product</t>
  </si>
  <si>
    <t xml:space="preserve">Stream (fixed proportion within route)</t>
  </si>
  <si>
    <t xml:space="preserve">Route (fungible use of the raw commodity, or fixed to the animal)</t>
  </si>
  <si>
    <t xml:space="preserve">Quantity per unit</t>
  </si>
  <si>
    <t xml:space="preserve">Quantity unit</t>
  </si>
  <si>
    <t xml:space="preserve">Price</t>
  </si>
  <si>
    <t xml:space="preserve">Price unit</t>
  </si>
  <si>
    <t xml:space="preserve">Value</t>
  </si>
  <si>
    <t xml:space="preserve">Protein content (share of mass)</t>
  </si>
  <si>
    <t xml:space="preserve">w: share within stream</t>
  </si>
  <si>
    <t xml:space="preserve">DF constant-cost limit (supply perfectly elastic)</t>
  </si>
  <si>
    <t xml:space="preserve">DF LR, all-fixed variant</t>
  </si>
  <si>
    <t xml:space="preserve">DF LR, all-fungible variant</t>
  </si>
  <si>
    <t xml:space="preserve">Stream price change for the shift in col. B9</t>
  </si>
  <si>
    <t xml:space="preserve">Farm (animal) price change for that shift</t>
  </si>
  <si>
    <t xml:space="preserve">Shift at which stream hits its floor (as % of this product)</t>
  </si>
  <si>
    <t xml:space="preserve">Animal change if this product is fully replaced (LR, floor-capped, linear)</t>
  </si>
  <si>
    <t xml:space="preserve">kg animal unit displaced per kg product (LR)</t>
  </si>
  <si>
    <t xml:space="preserve">kg animal unit per kg protein replaced (LR)</t>
  </si>
  <si>
    <t xml:space="preserve">Fluid milk (Class I)</t>
  </si>
  <si>
    <t xml:space="preserve">Fluid milk</t>
  </si>
  <si>
    <t xml:space="preserve">Fluid</t>
  </si>
  <si>
    <t xml:space="preserve">[S] Class I price</t>
  </si>
  <si>
    <t xml:space="preserve">Other dairy: yogurt, ice cream, etc. (Class II)</t>
  </si>
  <si>
    <t xml:space="preserve">Other dairy</t>
  </si>
  <si>
    <t xml:space="preserve">Other manufactured</t>
  </si>
  <si>
    <t xml:space="preserve">[S] Class II price</t>
  </si>
  <si>
    <t xml:space="preserve">Butter / cream (3.5 lb fat per cwt)</t>
  </si>
  <si>
    <t xml:space="preserve">Butter (fat)</t>
  </si>
  <si>
    <t xml:space="preserve">Butter &amp; powder</t>
  </si>
  <si>
    <t xml:space="preserve">[S] FMMO butterfat price x 3.5</t>
  </si>
  <si>
    <t xml:space="preserve">Nonfat dry milk / SMP (also the casein route)</t>
  </si>
  <si>
    <t xml:space="preserve">Milk powder (nonfat solids)</t>
  </si>
  <si>
    <t xml:space="preserve">[S] FMMO nonfat solids price x 9.3 x 0.965</t>
  </si>
  <si>
    <t xml:space="preserve">Cheese (cheddar-equivalent)</t>
  </si>
  <si>
    <t xml:space="preserve">Cheese</t>
  </si>
  <si>
    <t xml:space="preserve">Cheese route</t>
  </si>
  <si>
    <t xml:space="preserve">[S] cheese price less make allowance</t>
  </si>
  <si>
    <t xml:space="preserve">WPC 80 (whey protein concentrate)</t>
  </si>
  <si>
    <t xml:space="preserve">Whey protein</t>
  </si>
  <si>
    <t xml:space="preserve">[S] price; [A] processing allowance</t>
  </si>
  <si>
    <t xml:space="preserve">WPI (whey protein isolate)</t>
  </si>
  <si>
    <t xml:space="preserve">Dry whey (sweet whey powder)</t>
  </si>
  <si>
    <t xml:space="preserve">Whey carbohydrate</t>
  </si>
  <si>
    <t xml:space="preserve">[S] price and make allowance</t>
  </si>
  <si>
    <t xml:space="preserve">Lactose</t>
  </si>
  <si>
    <t xml:space="preserve">[S] price; [A] allowance</t>
  </si>
  <si>
    <t xml:space="preserve">Permeate / condensed whey / feed</t>
  </si>
  <si>
    <t xml:space="preserve">[S] feed-grade whey price</t>
  </si>
  <si>
    <t xml:space="preserve">Cull cows (manufacturing beef)</t>
  </si>
  <si>
    <t xml:space="preserve">Cull cows</t>
  </si>
  <si>
    <t xml:space="preserve">Cattle sales</t>
  </si>
  <si>
    <t xml:space="preserve">[S] ERS cattle sales share; [E] 60/40 split</t>
  </si>
  <si>
    <t xml:space="preserve">Calves (beef-on-dairy, bull calves)</t>
  </si>
  <si>
    <t xml:space="preserve">Calves</t>
  </si>
  <si>
    <t xml:space="preserve">Total value of one unit of the animal</t>
  </si>
  <si>
    <t xml:space="preserve">Column U: lb of raw milk displaced per lb of product replaced (long run).</t>
  </si>
  <si>
    <t xml:space="preserve">Stream</t>
  </si>
  <si>
    <t xml:space="preserve">Route</t>
  </si>
  <si>
    <t xml:space="preserve">Stream value</t>
  </si>
  <si>
    <t xml:space="preserve">S_k: share within route</t>
  </si>
  <si>
    <t xml:space="preserve">Own-price demand elasticity (eps_k)</t>
  </si>
  <si>
    <t xml:space="preserve">Floor price ratio (P_floor / P_now; blank = no external floor)</t>
  </si>
  <si>
    <t xml:space="preserve">Floor: next-best use</t>
  </si>
  <si>
    <t xml:space="preserve">S_k / |eps_k|</t>
  </si>
  <si>
    <t xml:space="preserve">Route demand elasticity eps_r</t>
  </si>
  <si>
    <t xml:space="preserve">M_r: route weight multiplier (table C)</t>
  </si>
  <si>
    <t xml:space="preserve">DF stream, short run</t>
  </si>
  <si>
    <t xml:space="preserve">DF stream, long run</t>
  </si>
  <si>
    <t xml:space="preserve">DF stream, constant-cost limit</t>
  </si>
  <si>
    <t xml:space="preserve">DF LR all-fixed (Houck)</t>
  </si>
  <si>
    <t xml:space="preserve">DF LR all-fungible</t>
  </si>
  <si>
    <t xml:space="preserve">g_k: stream price change per unit shift (LR)</t>
  </si>
  <si>
    <t xml:space="preserve">Farm price change per unit shift (LR)</t>
  </si>
  <si>
    <t xml:space="preserve">Shift at which stream price reaches the floor (LR)</t>
  </si>
  <si>
    <t xml:space="preserve">a_r: raw-volume share of the route (blank = fixed to the animal)</t>
  </si>
  <si>
    <t xml:space="preserve">Elasticity source</t>
  </si>
  <si>
    <t xml:space="preserve">[S] Andreyeva 2010 milk 0.59; Okrent &amp; Alston 2012 milk 0.10; EU 0.53</t>
  </si>
  <si>
    <t xml:space="preserve">[S] Okrent &amp; Alston other dairy 1.04; yogurt 1.19</t>
  </si>
  <si>
    <t xml:space="preserve">[S] EU butter 0.47; fats &amp; oils 0.48</t>
  </si>
  <si>
    <t xml:space="preserve">feed-grade SMP / export at world price</t>
  </si>
  <si>
    <t xml:space="preserve">[A] traded commodity, elastic for one supplier</t>
  </si>
  <si>
    <t xml:space="preserve">[S] Andreyeva cheese 0.44; Okrent &amp; Alston 0.70; EU 0.60</t>
  </si>
  <si>
    <t xml:space="preserve">protein valued as dry/feed whey (~$0.35-0.70 per lb solids)</t>
  </si>
  <si>
    <t xml:space="preserve">[A] ingredient with substitutes (SPI, MPC, pea); Houck soybean meal flexibility 1.12</t>
  </si>
  <si>
    <t xml:space="preserve">feed-grade whey / permeate</t>
  </si>
  <si>
    <t xml:space="preserve">[A] feed outlet, near-perfect substitutes</t>
  </si>
  <si>
    <t xml:space="preserve">rendering / pet food</t>
  </si>
  <si>
    <t xml:space="preserve">[S] beef demand 0.75 (Andreyeva)</t>
  </si>
  <si>
    <t xml:space="preserve">bob veal / euthanasia</t>
  </si>
  <si>
    <t xml:space="preserve">[A] derived from fed-beef demand</t>
  </si>
  <si>
    <t xml:space="preserve">Route value</t>
  </si>
  <si>
    <t xml:space="preserve">Route share W_r (value)</t>
  </si>
  <si>
    <t xml:space="preserve">a_r: raw-volume share (blue input; blank = fixed to the animal)</t>
  </si>
  <si>
    <t xml:space="preserve">a_r normalised</t>
  </si>
  <si>
    <t xml:space="preserve">Sum of S_k/|eps_k| over its streams</t>
  </si>
  <si>
    <t xml:space="preserve">Route demand elasticity eps_r = -1/sum</t>
  </si>
  <si>
    <t xml:space="preserve">a_r x eps_r (fungible routes)</t>
  </si>
  <si>
    <t xml:space="preserve">M_r: weight multiplier (fixed: W_r; fungible: (W_raw/|eps_raw|) a_r |eps_r|)</t>
  </si>
  <si>
    <t xml:space="preserve">Contribution to H (fixed routes: W_r/|eps_r|)</t>
  </si>
  <si>
    <t xml:space="preserve">D. Aggregates</t>
  </si>
  <si>
    <t xml:space="preserve">Total value of one animal unit</t>
  </si>
  <si>
    <t xml:space="preserve">eps_bar: animal-level derived-demand elasticity = -1/H</t>
  </si>
  <si>
    <t xml:space="preserve">H_fixed: sum of (share / |eps|) over all streams (all-fixed Houck variant)</t>
  </si>
  <si>
    <t xml:space="preserve">eps_fungible: value-weighted arithmetic mean of stream elasticities (all-fungible variant)</t>
  </si>
  <si>
    <t xml:space="preserve">Houck aggregate derived-demand elasticity of the animal (all-fixed): -1/H_fixed</t>
  </si>
  <si>
    <t xml:space="preserve">DF bundle, short run: animal reduction per unit of proportional reduction in ALL its products (the 'cumulative elasticity' of a full boycott) = eps_s H/(1+eps_s H)</t>
  </si>
  <si>
    <t xml:space="preserve">DF bundle, long run</t>
  </si>
  <si>
    <t xml:space="preserve">Check: sum of stream DF (LR) equals DF bundle (LR)</t>
  </si>
  <si>
    <t xml:space="preserve">W_raw: value share of the raw commodity (sum of fungible routes)</t>
  </si>
  <si>
    <t xml:space="preserve">eps_raw: raw-commodity demand elasticity = sum_r a_r eps_r over fungible routes</t>
  </si>
  <si>
    <t xml:space="preserve">H: sum over fixed routes of W_r/|eps_r| plus W_raw/|eps_raw| (animal-level inelasticity)</t>
  </si>
  <si>
    <t xml:space="preserve">Fed steer (Oct 2026 prices)</t>
  </si>
  <si>
    <t xml:space="preserve">Unit of analysis: per 1,400 lb Choice steer</t>
  </si>
  <si>
    <t xml:space="preserve">Structure: Carcass cuts in fixed proportions (one route); grinding is a one-way re-route handled as a floor on whole-cut streams in the text.</t>
  </si>
  <si>
    <t xml:space="preserve">Prices: USDA AMS boxed beef cutout 15 Oct 2026; by-product drop value 15 Oct 2026</t>
  </si>
  <si>
    <t xml:space="preserve">Supply elasticity sources: [S] Wohlgenant 1993 beef supply 0.15 (SR); Lusk &amp; Norwood 2009 LR 0.82; Harrington &amp; Dubman 2008: 1.07</t>
  </si>
  <si>
    <t xml:space="preserve">Inputs: carcass yields, primal values, drop credit (blue = editable)</t>
  </si>
  <si>
    <t xml:space="preserve">Live weight</t>
  </si>
  <si>
    <t xml:space="preserve">lb</t>
  </si>
  <si>
    <t xml:space="preserve">[S] AMS drop report: typical steer 1,400 lb</t>
  </si>
  <si>
    <t xml:space="preserve">Dressing percentage</t>
  </si>
  <si>
    <t xml:space="preserve">[S] AMS 63.0%</t>
  </si>
  <si>
    <t xml:space="preserve">Rib yield (share of carcass)</t>
  </si>
  <si>
    <t xml:space="preserve">[S] AMS cutout yield factors</t>
  </si>
  <si>
    <t xml:space="preserve">Rib primal value</t>
  </si>
  <si>
    <t xml:space="preserve">[S] AMS 15 Oct 2026 Choice</t>
  </si>
  <si>
    <t xml:space="preserve">Chuck yield</t>
  </si>
  <si>
    <t xml:space="preserve">[S]</t>
  </si>
  <si>
    <t xml:space="preserve">Chuck primal value</t>
  </si>
  <si>
    <t xml:space="preserve">Round yield</t>
  </si>
  <si>
    <t xml:space="preserve">Round primal value</t>
  </si>
  <si>
    <t xml:space="preserve">Loin yield</t>
  </si>
  <si>
    <t xml:space="preserve">Loin primal value</t>
  </si>
  <si>
    <t xml:space="preserve">Brisket yield</t>
  </si>
  <si>
    <t xml:space="preserve">Brisket primal value</t>
  </si>
  <si>
    <t xml:space="preserve">Short plate yield</t>
  </si>
  <si>
    <t xml:space="preserve">Short plate primal value</t>
  </si>
  <si>
    <t xml:space="preserve">Flank yield</t>
  </si>
  <si>
    <t xml:space="preserve">Flank primal value</t>
  </si>
  <si>
    <t xml:space="preserve">Share of chuck+round sold as whole-muscle cuts (rest ground)</t>
  </si>
  <si>
    <t xml:space="preserve">Value uplift of whole-muscle end cuts vs primal average</t>
  </si>
  <si>
    <t xml:space="preserve">x</t>
  </si>
  <si>
    <t xml:space="preserve">Share of thin meats sold whole-muscle (rest ground)</t>
  </si>
  <si>
    <t xml:space="preserve">Value uplift of whole-muscle thin meats</t>
  </si>
  <si>
    <t xml:space="preserve">Value discount of ground chuck/round vs primal average</t>
  </si>
  <si>
    <t xml:space="preserve">Value discount of ground thin meats</t>
  </si>
  <si>
    <t xml:space="preserve">Drop value: hide</t>
  </si>
  <si>
    <t xml:space="preserve">$/cwt live</t>
  </si>
  <si>
    <t xml:space="preserve">[S] AMS 15 Oct 2026</t>
  </si>
  <si>
    <t xml:space="preserve">Drop value: tallow + technical fat</t>
  </si>
  <si>
    <t xml:space="preserve">Drop value: edible offal</t>
  </si>
  <si>
    <t xml:space="preserve">[S] sum of tongues, cheek, head meat, oxtails, hearts, lips, livers, tripe, lungs, melts</t>
  </si>
  <si>
    <t xml:space="preserve">Drop value: meat &amp; bone meal + blood meal</t>
  </si>
  <si>
    <t xml:space="preserve">Middle meats: steaks and roasts from rib and loin</t>
  </si>
  <si>
    <t xml:space="preserve">Middle meats (whole cut)</t>
  </si>
  <si>
    <t xml:space="preserve">Carcass</t>
  </si>
  <si>
    <t xml:space="preserve">[S] AMS primals</t>
  </si>
  <si>
    <t xml:space="preserve">End-meat whole-muscle cuts (chuck/round roasts, steaks; 50% of chuck+round)</t>
  </si>
  <si>
    <t xml:space="preserve">End meats (whole cut)</t>
  </si>
  <si>
    <t xml:space="preserve">[E] split of chuck/round</t>
  </si>
  <si>
    <t xml:space="preserve">Thin-meat whole-muscle (brisket, flank, skirt; 40% of thin meats)</t>
  </si>
  <si>
    <t xml:space="preserve">Grinding material: trim and ground chuck/round (minced beef)</t>
  </si>
  <si>
    <t xml:space="preserve">Minced beef (grinding material)</t>
  </si>
  <si>
    <t xml:space="preserve">[E] 50% of chuck/round + 60% of thin meats</t>
  </si>
  <si>
    <t xml:space="preserve">Hide</t>
  </si>
  <si>
    <t xml:space="preserve">Drop credit</t>
  </si>
  <si>
    <t xml:space="preserve">[S] AMS drop value 15 Oct 2026</t>
  </si>
  <si>
    <t xml:space="preserve">Tallow and technical fat</t>
  </si>
  <si>
    <t xml:space="preserve">Edible offal (tongue, cheek, oxtail, liver, tripe, hearts, lips)</t>
  </si>
  <si>
    <t xml:space="preserve">Meat &amp; bone meal, blood meal</t>
  </si>
  <si>
    <t xml:space="preserve">Column U: lb of live steer displaced per lb of product replaced (long run).</t>
  </si>
  <si>
    <t xml:space="preserve">[S] beef 0.75 (Andreyeva); steaks more elastic in scanner data (Tonsor &amp; Lusk 2024)</t>
  </si>
  <si>
    <t xml:space="preserve">[A] as beef</t>
  </si>
  <si>
    <t xml:space="preserve">pet food / rendering</t>
  </si>
  <si>
    <t xml:space="preserve">[S] beef 0.75; ground beef 1.25 (farmdoc 2021)</t>
  </si>
  <si>
    <t xml:space="preserve">rendering / disposal; hides already near disposal value</t>
  </si>
  <si>
    <t xml:space="preserve">[A] traded by-products: hides, tallow, offal exports</t>
  </si>
  <si>
    <t xml:space="preserve">Layer hen (2019-21 prices)</t>
  </si>
  <si>
    <t xml:space="preserve">Unit of analysis: per dozen eggs + pro-rata spent hen</t>
  </si>
  <si>
    <t xml:space="preserve">Structure: Eggs flow between shell and breaking (fungible routes); white and yolk are joint in fixed proportions.</t>
  </si>
  <si>
    <t xml:space="preserve">Prices: USDA AMS Oct 2019 egg-products prices; shell eggs ~2019 annual average (approx.)</t>
  </si>
  <si>
    <t xml:space="preserve">Supply elasticity sources: [S] Chavas 1980 SR 0.03; Chavas &amp; Johnson 1981 LR ~1; Harrington &amp; Dubman 2008: 1.04</t>
  </si>
  <si>
    <t xml:space="preserve">Inputs (two price scenarios; 1 = 2019-21 normal market, 2 = Sep 2025 HPAI-tight market). Blue = editable.</t>
  </si>
  <si>
    <t xml:space="preserve">Scenario selector (1 = 2019-21, 2 = 2025)</t>
  </si>
  <si>
    <t xml:space="preserve">Live value</t>
  </si>
  <si>
    <t xml:space="preserve">Scenario 1: 2019-21</t>
  </si>
  <si>
    <t xml:space="preserve">Scenario 2: 2025</t>
  </si>
  <si>
    <t xml:space="preserve">Table eggs sold in shell (share)</t>
  </si>
  <si>
    <t xml:space="preserve">[S] NASS/AMS: ~32% broken</t>
  </si>
  <si>
    <t xml:space="preserve">Broken eggs separated into white and yolk (share of broken)</t>
  </si>
  <si>
    <t xml:space="preserve">[E] NASS white/yolk volumes</t>
  </si>
  <si>
    <t xml:space="preserve">Edible liquid per dozen</t>
  </si>
  <si>
    <t xml:space="preserve">[S] NASS 2025</t>
  </si>
  <si>
    <t xml:space="preserve">White share of liquid (by mass)</t>
  </si>
  <si>
    <t xml:space="preserve">[S] USDA grading manual 58/31/11</t>
  </si>
  <si>
    <t xml:space="preserve">Shell egg price, large white, wholesale</t>
  </si>
  <si>
    <t xml:space="preserve">$/dozen</t>
  </si>
  <si>
    <t xml:space="preserve">[S] AMS; 2019 approx. annual average</t>
  </si>
  <si>
    <t xml:space="preserve">Liquid whole egg</t>
  </si>
  <si>
    <t xml:space="preserve">[S] AMS Oct 2019 / Sep 2025</t>
  </si>
  <si>
    <t xml:space="preserve">Liquid egg white</t>
  </si>
  <si>
    <t xml:space="preserve">[S] AMS</t>
  </si>
  <si>
    <t xml:space="preserve">Liquid egg yolk</t>
  </si>
  <si>
    <t xml:space="preserve">Spent hen value</t>
  </si>
  <si>
    <t xml:space="preserve">$/bird</t>
  </si>
  <si>
    <t xml:space="preserve">[S] removal cost 0-5 c/head; nominal</t>
  </si>
  <si>
    <t xml:space="preserve">Dozens per hen-year</t>
  </si>
  <si>
    <t xml:space="preserve">dozen</t>
  </si>
  <si>
    <t xml:space="preserve">[E] ~300 eggs</t>
  </si>
  <si>
    <t xml:space="preserve">Shell eggs (table)</t>
  </si>
  <si>
    <t xml:space="preserve">Shell eggs</t>
  </si>
  <si>
    <t xml:space="preserve">Shell</t>
  </si>
  <si>
    <t xml:space="preserve">Liquid/frozen whole egg</t>
  </si>
  <si>
    <t xml:space="preserve">Whole egg products</t>
  </si>
  <si>
    <t xml:space="preserve">Products: whole</t>
  </si>
  <si>
    <t xml:space="preserve">Liquid egg white (albumen): liquid, dried albumen, protein fractions</t>
  </si>
  <si>
    <t xml:space="preserve">Egg white</t>
  </si>
  <si>
    <t xml:space="preserve">Products: separated</t>
  </si>
  <si>
    <t xml:space="preserve">Egg yolk</t>
  </si>
  <si>
    <t xml:space="preserve">Spent hen (soup meat, rendering)</t>
  </si>
  <si>
    <t xml:space="preserve">Spent hen</t>
  </si>
  <si>
    <t xml:space="preserve">[S] removal cost 0-5 c/head: nominal $0.02</t>
  </si>
  <si>
    <t xml:space="preserve">Column U: lb of eggs (in shell, 1.5 lb per dozen) displaced per lb of product replaced (long run).</t>
  </si>
  <si>
    <t xml:space="preserve">[S] Andreyeva 2010 eggs 0.27; Okrent &amp; Alston 0.24; Bakhtavoryan 2021 conventional 0.235</t>
  </si>
  <si>
    <t xml:space="preserve">dried whole-egg inventory / export / feed</t>
  </si>
  <si>
    <t xml:space="preserve">[A] breaker demand more elastic than table demand (Blakely 1984)</t>
  </si>
  <si>
    <t xml:space="preserve">dried albumen at surplus prices / feed</t>
  </si>
  <si>
    <t xml:space="preserve">[A] ingredient with substitutes</t>
  </si>
  <si>
    <t xml:space="preserve">industrial yolk (pet food, feed)</t>
  </si>
  <si>
    <t xml:space="preserve">rendering / composting</t>
  </si>
  <si>
    <t xml:space="preserve">[A] effectively perfectly elastic at ~0</t>
  </si>
  <si>
    <t xml:space="preserve">Broiler (Jan 2025 prices)</t>
  </si>
  <si>
    <t xml:space="preserve">Unit of analysis: per 6.0 lb live bird</t>
  </si>
  <si>
    <t xml:space="preserve">Structure: Carcass parts in fixed proportions.</t>
  </si>
  <si>
    <t xml:space="preserve">Prices: USDA AMS weekly national composite 24 Jan 2025; Cobb 500 yield poster</t>
  </si>
  <si>
    <t xml:space="preserve">Supply elasticity sources: [S] Kapombe &amp; Colyer 1998 SR 0.07 / LR 0.13; Chavas &amp; Johnson 1982 0.02; Lusk &amp; Norwood 2009 LR 0.70; Harrington &amp; Dubman 1.15</t>
  </si>
  <si>
    <t xml:space="preserve">Inputs: part yields (share of live weight) and prices (blue = editable)</t>
  </si>
  <si>
    <t xml:space="preserve">[S] Cobb 500 poster 2.73 kg</t>
  </si>
  <si>
    <t xml:space="preserve">Breast fillet yield (share of live)</t>
  </si>
  <si>
    <t xml:space="preserve">[S] Cobb</t>
  </si>
  <si>
    <t xml:space="preserve">B/S breast price</t>
  </si>
  <si>
    <t xml:space="preserve">[S] AMS 24 Jan 2025</t>
  </si>
  <si>
    <t xml:space="preserve">Tenders yield</t>
  </si>
  <si>
    <t xml:space="preserve">Tenders price</t>
  </si>
  <si>
    <t xml:space="preserve">Wings yield</t>
  </si>
  <si>
    <t xml:space="preserve">Wings price</t>
  </si>
  <si>
    <t xml:space="preserve">Whole legs yield (leg quarters less back)</t>
  </si>
  <si>
    <t xml:space="preserve">[S] Cobb: whole legs 23.01%</t>
  </si>
  <si>
    <t xml:space="preserve">Leg quarters price</t>
  </si>
  <si>
    <t xml:space="preserve">Backs, necks, frames yield</t>
  </si>
  <si>
    <t xml:space="preserve">[S] back/frame 8.61 + neck 3.50</t>
  </si>
  <si>
    <t xml:space="preserve">Backs/necks price</t>
  </si>
  <si>
    <t xml:space="preserve">Giblets yield</t>
  </si>
  <si>
    <t xml:space="preserve">Giblets price</t>
  </si>
  <si>
    <t xml:space="preserve">Paws yield</t>
  </si>
  <si>
    <t xml:space="preserve">Paws price</t>
  </si>
  <si>
    <t xml:space="preserve">Feathers, blood, viscera, heads yield</t>
  </si>
  <si>
    <t xml:space="preserve">Rendering raw-material value</t>
  </si>
  <si>
    <t xml:space="preserve">Boneless skinless breast (fillets, whole-muscle nuggets)</t>
  </si>
  <si>
    <t xml:space="preserve">Breast meat</t>
  </si>
  <si>
    <t xml:space="preserve">[S] Cobb yield; AMS price</t>
  </si>
  <si>
    <t xml:space="preserve">Tenders</t>
  </si>
  <si>
    <t xml:space="preserve">Wings</t>
  </si>
  <si>
    <t xml:space="preserve">Leg quarters / dark meat (whole legs)</t>
  </si>
  <si>
    <t xml:space="preserve">Dark meat</t>
  </si>
  <si>
    <t xml:space="preserve">[S] Cobb whole legs 23.01% (leg quarters 31.62% include the back)</t>
  </si>
  <si>
    <t xml:space="preserve">Backs, necks, frames -&gt; mechanically separated chicken (MSC nuggets, hot dogs)</t>
  </si>
  <si>
    <t xml:space="preserve">Backs &amp; necks (MSC)</t>
  </si>
  <si>
    <t xml:space="preserve">[S] backs/necks price</t>
  </si>
  <si>
    <t xml:space="preserve">Giblets</t>
  </si>
  <si>
    <t xml:space="preserve">Giblets &amp; paws</t>
  </si>
  <si>
    <t xml:space="preserve">Paws (export)</t>
  </si>
  <si>
    <t xml:space="preserve">[E] from FAS export unit values</t>
  </si>
  <si>
    <t xml:space="preserve">Feathers, blood, viscera, heads -&gt; rendering</t>
  </si>
  <si>
    <t xml:space="preserve">Rendering</t>
  </si>
  <si>
    <t xml:space="preserve">[E] rendered meal values</t>
  </si>
  <si>
    <t xml:space="preserve">Column U: lb of live bird displaced per lb of product replaced (long run).</t>
  </si>
  <si>
    <t xml:space="preserve">[S] poultry 0.68 (Andreyeva); 0.81 (Okrent &amp; Alston)</t>
  </si>
  <si>
    <t xml:space="preserve">pet food / rendering; exported at world price</t>
  </si>
  <si>
    <t xml:space="preserve">[A] export-exposed, elastic</t>
  </si>
  <si>
    <t xml:space="preserve">rendering</t>
  </si>
  <si>
    <t xml:space="preserve">[A] residual raw material</t>
  </si>
  <si>
    <t xml:space="preserve">already the floor</t>
  </si>
  <si>
    <t xml:space="preserve">Hog (Sep 2026 prices)</t>
  </si>
  <si>
    <t xml:space="preserve">Unit of analysis: per 280 lb live hog</t>
  </si>
  <si>
    <t xml:space="preserve">Structure: Carcass primals in fixed proportions.</t>
  </si>
  <si>
    <t xml:space="preserve">Prices: USDA AMS pork cutout week ending 25 Sep 2026; hog by-product value 9 Oct 2026</t>
  </si>
  <si>
    <t xml:space="preserve">Supply elasticity sources: [S] Wohlgenant 1993 hog supply 0.40 (SR); Lusk &amp; Norwood 2009 LR 1.56; Harrington &amp; Dubman 0.79</t>
  </si>
  <si>
    <t xml:space="preserve">Inputs: primal yields and values, drop credit (blue = editable)</t>
  </si>
  <si>
    <t xml:space="preserve">[S] AMS by-product report</t>
  </si>
  <si>
    <t xml:space="preserve">Carcass weight</t>
  </si>
  <si>
    <t xml:space="preserve">[S] AMS cutout basis</t>
  </si>
  <si>
    <t xml:space="preserve">[S] AMS pork cutout yields</t>
  </si>
  <si>
    <t xml:space="preserve">Loin value</t>
  </si>
  <si>
    <t xml:space="preserve">[S] w/e 25 Sep 2026</t>
  </si>
  <si>
    <t xml:space="preserve">Butt yield</t>
  </si>
  <si>
    <t xml:space="preserve">Butt value</t>
  </si>
  <si>
    <t xml:space="preserve">Sparerib yield</t>
  </si>
  <si>
    <t xml:space="preserve">Sparerib value</t>
  </si>
  <si>
    <t xml:space="preserve">Ham yield</t>
  </si>
  <si>
    <t xml:space="preserve">Ham value</t>
  </si>
  <si>
    <t xml:space="preserve">Belly yield</t>
  </si>
  <si>
    <t xml:space="preserve">Belly value</t>
  </si>
  <si>
    <t xml:space="preserve">Picnic + jowl + neck bones + trim yield</t>
  </si>
  <si>
    <t xml:space="preserve">[S] 11.37+1.45+1.69</t>
  </si>
  <si>
    <t xml:space="preserve">Sausage-material value</t>
  </si>
  <si>
    <t xml:space="preserve">[S] picnic 0.677; [E] blend</t>
  </si>
  <si>
    <t xml:space="preserve">Feet and tails yield</t>
  </si>
  <si>
    <t xml:space="preserve">Feet/tails value</t>
  </si>
  <si>
    <t xml:space="preserve">Hog by-product drop value</t>
  </si>
  <si>
    <t xml:space="preserve">[S] AMS 9 Oct 2026</t>
  </si>
  <si>
    <t xml:space="preserve">Loin (chops, roasts)</t>
  </si>
  <si>
    <t xml:space="preserve">Fresh pork cuts</t>
  </si>
  <si>
    <t xml:space="preserve">Butt (shoulder)</t>
  </si>
  <si>
    <t xml:space="preserve">Spareribs</t>
  </si>
  <si>
    <t xml:space="preserve">Ham (mostly cured)</t>
  </si>
  <si>
    <t xml:space="preserve">Ham</t>
  </si>
  <si>
    <t xml:space="preserve">Belly (bacon)</t>
  </si>
  <si>
    <t xml:space="preserve">Belly</t>
  </si>
  <si>
    <t xml:space="preserve">Picnic, jowl, neck bones, trim -&gt; sausage, ground pork</t>
  </si>
  <si>
    <t xml:space="preserve">Sausage &amp; trim</t>
  </si>
  <si>
    <t xml:space="preserve">[S] picnic; [E] jowl/neck</t>
  </si>
  <si>
    <t xml:space="preserve">Feet, tails (export, variety meats)</t>
  </si>
  <si>
    <t xml:space="preserve">Variety meats &amp; drop</t>
  </si>
  <si>
    <t xml:space="preserve">Drop credit (lard, offal, meals, plasma)</t>
  </si>
  <si>
    <t xml:space="preserve">[S] AMS hog by-product value 9 Oct 2026</t>
  </si>
  <si>
    <t xml:space="preserve">Column U: lb of live hog displaced per lb of product replaced (long run).</t>
  </si>
  <si>
    <t xml:space="preserve">[S] pork 0.72 (Andreyeva); loin 1.45 scanner (Tonsor &amp; Lusk 2024)</t>
  </si>
  <si>
    <t xml:space="preserve">[A] processed, inelastic</t>
  </si>
  <si>
    <t xml:space="preserve">[S] bacon 0.83 scanner</t>
  </si>
  <si>
    <t xml:space="preserve">[A] trim competes with beef and poultry trim</t>
  </si>
  <si>
    <t xml:space="preserve">Alaska pollock (wild, TAC-managed)</t>
  </si>
  <si>
    <t xml:space="preserve">Unit of analysis: per tonne round weight</t>
  </si>
  <si>
    <t xml:space="preserve">Structure: Flesh is allocated between fillets and surimi (fungible sub-products); roe and meal are joint by-products.</t>
  </si>
  <si>
    <t xml:space="preserve">Prices: NOAA 2024 production via SeafoodSource; GAPP surimi prices; EUMOFA fillet import prices</t>
  </si>
  <si>
    <t xml:space="preserve">Supply elasticity sources: [S] quota-managed capture: supply elasticity ~0 (World Bank 2013; estimates 0 to 0.17; can be negative)</t>
  </si>
  <si>
    <t xml:space="preserve">Inputs: 2024 product volumes and prices (blue = editable)</t>
  </si>
  <si>
    <t xml:space="preserve">Catch (round weight)</t>
  </si>
  <si>
    <t xml:space="preserve">kt</t>
  </si>
  <si>
    <t xml:space="preserve">[S] 2024 ~1.43 Mt</t>
  </si>
  <si>
    <t xml:space="preserve">Fillets (PBO + deep-skin + other)</t>
  </si>
  <si>
    <t xml:space="preserve">kt product</t>
  </si>
  <si>
    <t xml:space="preserve">[S] NOAA 2024</t>
  </si>
  <si>
    <t xml:space="preserve">Fillet price</t>
  </si>
  <si>
    <t xml:space="preserve">$/t</t>
  </si>
  <si>
    <t xml:space="preserve">[E] blocks &gt;$5,000/t EU; fillets $3.35/kg export</t>
  </si>
  <si>
    <t xml:space="preserve">H&amp;G</t>
  </si>
  <si>
    <t xml:space="preserve">H&amp;G price</t>
  </si>
  <si>
    <t xml:space="preserve">Surimi</t>
  </si>
  <si>
    <t xml:space="preserve">Surimi price</t>
  </si>
  <si>
    <t xml:space="preserve">[S] GAPP $2,200-2,900/t</t>
  </si>
  <si>
    <t xml:space="preserve">Mince</t>
  </si>
  <si>
    <t xml:space="preserve">Mince price</t>
  </si>
  <si>
    <t xml:space="preserve">Roe</t>
  </si>
  <si>
    <t xml:space="preserve">Roe price</t>
  </si>
  <si>
    <t xml:space="preserve">Fishmeal</t>
  </si>
  <si>
    <t xml:space="preserve">Fishmeal price</t>
  </si>
  <si>
    <t xml:space="preserve">[S] World Bank 2024-25 avg</t>
  </si>
  <si>
    <t xml:space="preserve">Fish oil</t>
  </si>
  <si>
    <t xml:space="preserve">Fish oil price</t>
  </si>
  <si>
    <t xml:space="preserve">Fillet blocks and fillets (fish fingers, portions)</t>
  </si>
  <si>
    <t xml:space="preserve">Flesh (fillets, surimi, mince)</t>
  </si>
  <si>
    <t xml:space="preserve">Fish</t>
  </si>
  <si>
    <t xml:space="preserve">[S] volumes; [E] prices</t>
  </si>
  <si>
    <t xml:space="preserve">H&amp;G (headed and gutted)</t>
  </si>
  <si>
    <t xml:space="preserve">Surimi (crab sticks, kamaboko)</t>
  </si>
  <si>
    <t xml:space="preserve">[S] GAPP ~$2,500-2,900/t</t>
  </si>
  <si>
    <t xml:space="preserve">Meal &amp; oil</t>
  </si>
  <si>
    <t xml:space="preserve">[S] World Bank 2024-25 fishmeal ~$1,700/t</t>
  </si>
  <si>
    <t xml:space="preserve">Column U: tonnes of round-weight catch displaced per tonne of product replaced (long run; ~0 under a binding TAC).</t>
  </si>
  <si>
    <t xml:space="preserve">[S] whitefish fillets ~-0.5 to -1.9 (Asche et al. 2007)</t>
  </si>
  <si>
    <t xml:space="preserve">meal value</t>
  </si>
  <si>
    <t xml:space="preserve">[A] at the outlet price: near-perfectly elastic for one supplier; aggregate fishmeal demand is inelastic (Tveteras 2010)</t>
  </si>
  <si>
    <t xml:space="preserve">Farmed Atlantic salmon (Norway)</t>
  </si>
  <si>
    <t xml:space="preserve">Unit of analysis: per kg HOG (NOK)</t>
  </si>
  <si>
    <t xml:space="preserve">Structure: Flesh and by-products joint; by-products ~3% of value.</t>
  </si>
  <si>
    <t xml:space="preserve">Prices: Norwegian spot price 2026 YTD NOK 75/kg; by-product value ~NOK 7/kg (SINTEF)</t>
  </si>
  <si>
    <t xml:space="preserve">Supply elasticity sources: [S] Asheim et al. 2011 SR 0.09 / LR 0.14; Steen et al. 1997 LR 1.4-1.6; licences cap Norwegian biomass</t>
  </si>
  <si>
    <t xml:space="preserve">Inputs (blue = editable)</t>
  </si>
  <si>
    <t xml:space="preserve">Salmon price, HOG</t>
  </si>
  <si>
    <t xml:space="preserve">NOK/kg</t>
  </si>
  <si>
    <t xml:space="preserve">[S] 2026 YTD spot</t>
  </si>
  <si>
    <t xml:space="preserve">By-products per kg HOG</t>
  </si>
  <si>
    <t xml:space="preserve">kg</t>
  </si>
  <si>
    <t xml:space="preserve">[S] Thunen 2025: 33% of HOG</t>
  </si>
  <si>
    <t xml:space="preserve">By-product value</t>
  </si>
  <si>
    <t xml:space="preserve">[S] SINTEF 2023 ~NOK 7/kg utilised</t>
  </si>
  <si>
    <t xml:space="preserve">Salmon HOG, fillets and portions</t>
  </si>
  <si>
    <t xml:space="preserve">Salmon flesh</t>
  </si>
  <si>
    <t xml:space="preserve">[S] NOK/kg 2026 YTD</t>
  </si>
  <si>
    <t xml:space="preserve">By-products (heads, frames, viscera, trimmings) -&gt; oil, meal, pet food</t>
  </si>
  <si>
    <t xml:space="preserve">Salmon by-products</t>
  </si>
  <si>
    <t xml:space="preserve">[S] SINTEF 2023</t>
  </si>
  <si>
    <t xml:space="preserve">Column U: kg HOG displaced per kg of product replaced (long run).</t>
  </si>
  <si>
    <t xml:space="preserve">[S] salmon ~-1 (Asche et al. 2007)</t>
  </si>
  <si>
    <t xml:space="preserve">ensilage / biogas</t>
  </si>
  <si>
    <t xml:space="preserve">Sensitivity: single-product displacement factor DF = eps_s / (eps_s + |eps_d|)</t>
  </si>
  <si>
    <t xml:space="preserve">Rows: supply elasticity eps_s. Columns: demand elasticity eps_d. Blue axis values are editable.</t>
  </si>
  <si>
    <t xml:space="preserve">eps_s \ eps_d</t>
  </si>
  <si>
    <t xml:space="preserve">Joint-product version: DF for a product with value share s and elasticity eps_k inside a fixed-proportion bundle with aggregate elasticity eps_bar</t>
  </si>
  <si>
    <t xml:space="preserve">Value share of the product (s)</t>
  </si>
  <si>
    <t xml:space="preserve">Own-price elasticity of the product (eps_k)</t>
  </si>
  <si>
    <t xml:space="preserve">Aggregate derived-demand elasticity of the animal (eps_bar)</t>
  </si>
  <si>
    <t xml:space="preserve">Supply elasticity (eps_s)</t>
  </si>
  <si>
    <t xml:space="preserve">DF of the product = eps_s * |eps_bar| * (s/|eps_k|) / (eps_s + |eps_bar|)</t>
  </si>
  <si>
    <t xml:space="preserve">Decomposition: DF = DF_bundle x omega, with DF_bundle = eps_s/(eps_s+|eps_bar|) and omega = (s/|eps_k|) x |eps_bar| (inelasticity-weighted value share)</t>
  </si>
  <si>
    <t xml:space="preserve">DF_bundle</t>
  </si>
  <si>
    <t xml:space="preserve">omega</t>
  </si>
  <si>
    <t xml:space="preserve">Target calculator: how much of product i must be replaced to cut the animal population by a target share?</t>
  </si>
  <si>
    <t xml:space="preserve">Target animal reduction (share)</t>
  </si>
  <si>
    <t xml:space="preserve">DF of the product (long run; copy from Summary col F)</t>
  </si>
  <si>
    <t xml:space="preserve">g: stream price change per unit shift (copy from branch sheet table B col Q)</t>
  </si>
  <si>
    <t xml:space="preserve">w: product share within its stream (branch sheet col K)</t>
  </si>
  <si>
    <t xml:space="preserve">Floor ratio of the stream (blank or 0 if none)</t>
  </si>
  <si>
    <t xml:space="preserve">Required demand shift in the product (share of its market)</t>
  </si>
  <si>
    <t xml:space="preserve">Feasible within the product's market? (|shift| &lt;= 100%)</t>
  </si>
  <si>
    <t xml:space="preserve">Implied stream price after the shift (share of today's price, log form)</t>
  </si>
  <si>
    <t xml:space="preserve">Below the floor? (then the floor binds and the target is not reachable through this product)</t>
  </si>
  <si>
    <t xml:space="preserve">Ranges: 10th, 50th and 90th percentiles of each displacement factor over 2,000 draws of the elasticities (values pasted from the Python model, monte_carlo.py; they do not recalculate)</t>
  </si>
  <si>
    <t xml:space="preserve">Sampling: stream demand elasticities lognormal around the point value, sigma 0.25 for sourced [S] streams and 0.45 for assumed [A] streams; long-run supply elasticities lognormal with sigma 0.6 (dairy), 0.35 (beef), 0.4 (eggs), 0.7 (broiler), 0.3 (hog), 0.8 (salmon), uniform 0 to 0.17 (pollock); short-run supply sigma 0.5. Prices and value shares held at the scenario snapshot.</t>
  </si>
  <si>
    <t xml:space="preserve">DF within a year p10</t>
  </si>
  <si>
    <t xml:space="preserve">p50</t>
  </si>
  <si>
    <t xml:space="preserve">p90</t>
  </si>
  <si>
    <t xml:space="preserve">DF 3-5 years p10</t>
  </si>
  <si>
    <t xml:space="preserve">DF constant-cost limit p10</t>
  </si>
  <si>
    <t xml:space="preserve">Dairy (2026)</t>
  </si>
  <si>
    <t xml:space="preserve">All products together (bundle)</t>
  </si>
  <si>
    <t xml:space="preserve">Dairy (2019-21)</t>
  </si>
  <si>
    <t xml:space="preserve">Eggs (2019-21)</t>
  </si>
  <si>
    <t xml:space="preserve">Eggs (2025)</t>
  </si>
  <si>
    <t xml:space="preserve">Exit: a perfect substitute offered at a fixed share of today's price (price cap), solved on the exact non-linear model (exact_model.py / exit_runs.py); values pasted, they do not recalculate</t>
  </si>
  <si>
    <t xml:space="preserve">Regime 2: one product capped. The animal keeps selling its joint output at the cap; the substitute supplies the extra demand at the lower price. A product that is the only output of a fungible route (fluid milk, shell eggs) loses the raw commodity entirely once the cap falls below the commodity's value in other routes ('route exit price'). 'Limit' = constant-cost supply (the farm price returns to today's level after the herd adjusts).</t>
  </si>
  <si>
    <t xml:space="preserve">Product (stream)</t>
  </si>
  <si>
    <t xml:space="preserve">Horizon</t>
  </si>
  <si>
    <t xml:space="preserve">Cap (share of today's price)</t>
  </si>
  <si>
    <t xml:space="preserve">Animal change</t>
  </si>
  <si>
    <t xml:space="preserve">Product output change (animal side)</t>
  </si>
  <si>
    <t xml:space="preserve">Substitute's share of the product market</t>
  </si>
  <si>
    <t xml:space="preserve">Quantity to the outlet (share of baseline)</t>
  </si>
  <si>
    <t xml:space="preserve">Farm price change</t>
  </si>
  <si>
    <t xml:space="preserve">Highest co-product price (index)</t>
  </si>
  <si>
    <t xml:space="preserve">Raw commodity to each route (index)</t>
  </si>
  <si>
    <t xml:space="preserve">Note</t>
  </si>
  <si>
    <t xml:space="preserve">dairy_2026</t>
  </si>
  <si>
    <t xml:space="preserve">3-5 years</t>
  </si>
  <si>
    <t xml:space="preserve">Fluid: 0.171; Other manufactured: 0.076; Butter &amp; powder: 0.123; Cheese route: 0.556</t>
  </si>
  <si>
    <t xml:space="preserve">Fluid: 0.000; Other manufactured: 0.091; Butter &amp; powder: 0.147; Cheese route: 0.662</t>
  </si>
  <si>
    <t xml:space="preserve">constant-cost limit</t>
  </si>
  <si>
    <t xml:space="preserve">Fluid: 0.000; Other manufactured: 0.082; Butter &amp; powder: 0.133; Cheese route: 0.611</t>
  </si>
  <si>
    <t xml:space="preserve">Fluid: 0.195; Other manufactured: 0.000; Butter &amp; powder: 0.137; Cheese route: 0.625</t>
  </si>
  <si>
    <t xml:space="preserve">Fluid: 0.191; Other manufactured: 0.000; Butter &amp; powder: 0.131; Cheese route: 0.604</t>
  </si>
  <si>
    <t xml:space="preserve">Fluid: 0.190; Other manufactured: 0.080; Butter &amp; powder: 0.126; Cheese route: 0.601</t>
  </si>
  <si>
    <t xml:space="preserve">Fluid: 0.191; Other manufactured: 0.081; Butter &amp; powder: 0.120; Cheese route: 0.603</t>
  </si>
  <si>
    <t xml:space="preserve">Fluid: 0.191; Other manufactured: 0.081; Butter &amp; powder: 0.111; Cheese route: 0.606</t>
  </si>
  <si>
    <t xml:space="preserve">Fluid: 0.192; Other manufactured: 0.081; Butter &amp; powder: 0.104; Cheese route: 0.608</t>
  </si>
  <si>
    <t xml:space="preserve">Fluid: 0.192; Other manufactured: 0.082; Butter &amp; powder: 0.100; Cheese route: 0.610</t>
  </si>
  <si>
    <t xml:space="preserve">Fluid: 0.190; Other manufactured: 0.080; Butter &amp; powder: 0.125; Cheese route: 0.600</t>
  </si>
  <si>
    <t xml:space="preserve">Fluid: 0.190; Other manufactured: 0.080; Butter &amp; powder: 0.119; Cheese route: 0.601</t>
  </si>
  <si>
    <t xml:space="preserve">Fluid: 0.190; Other manufactured: 0.080; Butter &amp; powder: 0.110; Cheese route: 0.601</t>
  </si>
  <si>
    <t xml:space="preserve">Fluid: 0.190; Other manufactured: 0.080; Butter &amp; powder: 0.102; Cheese route: 0.601</t>
  </si>
  <si>
    <t xml:space="preserve">Fluid: 0.190; Other manufactured: 0.080; Butter &amp; powder: 0.098; Cheese route: 0.602</t>
  </si>
  <si>
    <t xml:space="preserve">Fluid: 0.191; Other manufactured: 0.081; Butter &amp; powder: 0.115; Cheese route: 0.605</t>
  </si>
  <si>
    <t xml:space="preserve">Fluid: 0.192; Other manufactured: 0.082; Butter &amp; powder: 0.099; Cheese route: 0.610</t>
  </si>
  <si>
    <t xml:space="preserve">Fluid: 0.193; Other manufactured: 0.082; Butter &amp; powder: 0.087; Cheese route: 0.613</t>
  </si>
  <si>
    <t xml:space="preserve">Fluid: 0.190; Other manufactured: 0.080; Butter &amp; powder: 0.113; Cheese route: 0.601</t>
  </si>
  <si>
    <t xml:space="preserve">Fluid: 0.190; Other manufactured: 0.080; Butter &amp; powder: 0.096; Cheese route: 0.602</t>
  </si>
  <si>
    <t xml:space="preserve">Fluid: 0.190; Other manufactured: 0.080; Butter &amp; powder: 0.085; Cheese route: 0.602</t>
  </si>
  <si>
    <t xml:space="preserve">Fluid: 0.194; Other manufactured: 0.084; Butter &amp; powder: 0.136; Cheese route: 0.544</t>
  </si>
  <si>
    <t xml:space="preserve">Fluid: 0.201; Other manufactured: 0.091; Butter &amp; powder: 0.146; Cheese route: 0.464</t>
  </si>
  <si>
    <t xml:space="preserve">Fluid: 0.212; Other manufactured: 0.103; Butter &amp; powder: 0.164; Cheese route: 0.342</t>
  </si>
  <si>
    <t xml:space="preserve">Fluid: 0.222; Other manufactured: 0.114; Butter &amp; powder: 0.182; Cheese route: 0.243</t>
  </si>
  <si>
    <t xml:space="preserve">Fluid: 0.227; Other manufactured: 0.120; Butter &amp; powder: 0.191; Cheese route: 0.197</t>
  </si>
  <si>
    <t xml:space="preserve">Fluid: 0.192; Other manufactured: 0.081; Butter &amp; powder: 0.132; Cheese route: 0.457</t>
  </si>
  <si>
    <t xml:space="preserve">Fluid: 0.194; Other manufactured: 0.083; Butter &amp; powder: 0.135; Cheese route: 0.323</t>
  </si>
  <si>
    <t xml:space="preserve">Fluid: 0.197; Other manufactured: 0.086; Butter &amp; powder: 0.140; Cheese route: 0.201</t>
  </si>
  <si>
    <t xml:space="preserve">Fluid: 0.199; Other manufactured: 0.088; Butter &amp; powder: 0.143; Cheese route: 0.137</t>
  </si>
  <si>
    <t xml:space="preserve">Fluid: 0.200; Other manufactured: 0.089; Butter &amp; powder: 0.144; Cheese route: 0.112</t>
  </si>
  <si>
    <t xml:space="preserve">Fluid: 0.191; Other manufactured: 0.080; Butter &amp; powder: 0.131; Cheese route: 0.593</t>
  </si>
  <si>
    <t xml:space="preserve">Fluid: 0.191; Other manufactured: 0.081; Butter &amp; powder: 0.132; Cheese route: 0.583</t>
  </si>
  <si>
    <t xml:space="preserve">Fluid: 0.193; Other manufactured: 0.082; Butter &amp; powder: 0.134; Cheese route: 0.567</t>
  </si>
  <si>
    <t xml:space="preserve">Fluid: 0.194; Other manufactured: 0.084; Butter &amp; powder: 0.135; Cheese route: 0.552</t>
  </si>
  <si>
    <t xml:space="preserve">Fluid: 0.194; Other manufactured: 0.084; Butter &amp; powder: 0.136; Cheese route: 0.543</t>
  </si>
  <si>
    <t xml:space="preserve">Fluid: 0.195; Other manufactured: 0.084; Butter &amp; powder: 0.137; Cheese route: 0.540</t>
  </si>
  <si>
    <t xml:space="preserve">Fluid: 0.190; Other manufactured: 0.080; Butter &amp; powder: 0.130; Cheese route: 0.591</t>
  </si>
  <si>
    <t xml:space="preserve">Fluid: 0.190; Other manufactured: 0.080; Butter &amp; powder: 0.130; Cheese route: 0.577</t>
  </si>
  <si>
    <t xml:space="preserve">Fluid: 0.190; Other manufactured: 0.080; Butter &amp; powder: 0.131; Cheese route: 0.557</t>
  </si>
  <si>
    <t xml:space="preserve">Fluid: 0.191; Other manufactured: 0.081; Butter &amp; powder: 0.131; Cheese route: 0.538</t>
  </si>
  <si>
    <t xml:space="preserve">Fluid: 0.191; Other manufactured: 0.081; Butter &amp; powder: 0.131; Cheese route: 0.528</t>
  </si>
  <si>
    <t xml:space="preserve">Fluid: 0.191; Other manufactured: 0.081; Butter &amp; powder: 0.131; Cheese route: 0.525</t>
  </si>
  <si>
    <t xml:space="preserve">Fluid: 0.190; Other manufactured: 0.080; Butter &amp; powder: 0.130; Cheese route: 0.598</t>
  </si>
  <si>
    <t xml:space="preserve">Fluid: 0.190; Other manufactured: 0.080; Butter &amp; powder: 0.130; Cheese route: 0.596</t>
  </si>
  <si>
    <t xml:space="preserve">Fluid: 0.191; Other manufactured: 0.081; Butter &amp; powder: 0.131; Cheese route: 0.592</t>
  </si>
  <si>
    <t xml:space="preserve">Fluid: 0.190; Other manufactured: 0.080; Butter &amp; powder: 0.130; Cheese route: 0.595</t>
  </si>
  <si>
    <t xml:space="preserve">Fluid: 0.190; Other manufactured: 0.080; Butter &amp; powder: 0.130; Cheese route: 0.590</t>
  </si>
  <si>
    <t xml:space="preserve">Fluid: 0.190; Other manufactured: 0.080; Butter &amp; powder: 0.130; Cheese route: 0.599</t>
  </si>
  <si>
    <t xml:space="preserve">Fluid: 0.189; Other manufactured: 0.080; Butter &amp; powder: 0.129; Cheese route: 0.597</t>
  </si>
  <si>
    <t xml:space="preserve">Fluid: 0.189; Other manufactured: 0.079; Butter &amp; powder: 0.128; Cheese route: 0.594</t>
  </si>
  <si>
    <t xml:space="preserve">Fluid: 0.188; Other manufactured: 0.079; Butter &amp; powder: 0.128; Cheese route: 0.592</t>
  </si>
  <si>
    <t xml:space="preserve">Fluid: 0.188; Other manufactured: 0.078; Butter &amp; powder: 0.127; Cheese route: 0.591</t>
  </si>
  <si>
    <t xml:space="preserve">Fluid: 0.190; Other manufactured: 0.080; Butter &amp; powder: 0.129; Cheese route: 0.598</t>
  </si>
  <si>
    <t xml:space="preserve">Fluid: 0.189; Other manufactured: 0.079; Butter &amp; powder: 0.129; Cheese route: 0.595</t>
  </si>
  <si>
    <t xml:space="preserve">Fluid: 0.188; Other manufactured: 0.078; Butter &amp; powder: 0.127; Cheese route: 0.590</t>
  </si>
  <si>
    <t xml:space="preserve">Fluid: 0.187; Other manufactured: 0.077; Butter &amp; powder: 0.126; Cheese route: 0.586</t>
  </si>
  <si>
    <t xml:space="preserve">Fluid: 0.187; Other manufactured: 0.077; Butter &amp; powder: 0.126; Cheese route: 0.584</t>
  </si>
  <si>
    <t xml:space="preserve">Fluid: 0.189; Other manufactured: 0.079; Butter &amp; powder: 0.129; Cheese route: 0.596</t>
  </si>
  <si>
    <t xml:space="preserve">Fluid: 0.189; Other manufactured: 0.079; Butter &amp; powder: 0.128; Cheese route: 0.593</t>
  </si>
  <si>
    <t xml:space="preserve">Fluid: 0.189; Other manufactured: 0.079; Butter &amp; powder: 0.129; Cheese route: 0.597</t>
  </si>
  <si>
    <t xml:space="preserve">Fluid: 0.188; Other manufactured: 0.078; Butter &amp; powder: 0.127; Cheese route: 0.589</t>
  </si>
  <si>
    <t xml:space="preserve">Fluid: 0.188; Other manufactured: 0.078; Butter &amp; powder: 0.127; Cheese route: 0.588</t>
  </si>
  <si>
    <t xml:space="preserve">ALL PRODUCTS</t>
  </si>
  <si>
    <t xml:space="preserve">Regime 3: every product capped; animal change = cap^eps_s (3-5 years) or -100% (constant cost)</t>
  </si>
  <si>
    <t xml:space="preserve">dairy_2019</t>
  </si>
  <si>
    <t xml:space="preserve">Fluid: 0.172; Other manufactured: 0.076; Butter &amp; powder: 0.122; Cheese route: 0.553</t>
  </si>
  <si>
    <t xml:space="preserve">Fluid: 0.000; Other manufactured: 0.092; Butter &amp; powder: 0.146; Cheese route: 0.655</t>
  </si>
  <si>
    <t xml:space="preserve">Fluid: 0.000; Other manufactured: 0.082; Butter &amp; powder: 0.132; Cheese route: 0.609</t>
  </si>
  <si>
    <t xml:space="preserve">Fluid: 0.195; Other manufactured: 0.000; Butter &amp; powder: 0.136; Cheese route: 0.622</t>
  </si>
  <si>
    <t xml:space="preserve">Fluid: 0.191; Other manufactured: 0.000; Butter &amp; powder: 0.131; Cheese route: 0.603</t>
  </si>
  <si>
    <t xml:space="preserve">Fluid: 0.191; Other manufactured: 0.081; Butter &amp; powder: 0.121; Cheese route: 0.603</t>
  </si>
  <si>
    <t xml:space="preserve">Fluid: 0.191; Other manufactured: 0.081; Butter &amp; powder: 0.109; Cheese route: 0.606</t>
  </si>
  <si>
    <t xml:space="preserve">Fluid: 0.192; Other manufactured: 0.082; Butter &amp; powder: 0.093; Cheese route: 0.610</t>
  </si>
  <si>
    <t xml:space="preserve">Fluid: 0.193; Other manufactured: 0.083; Butter &amp; powder: 0.081; Cheese route: 0.614</t>
  </si>
  <si>
    <t xml:space="preserve">Fluid: 0.193; Other manufactured: 0.083; Butter &amp; powder: 0.075; Cheese route: 0.615</t>
  </si>
  <si>
    <t xml:space="preserve">Fluid: 0.190; Other manufactured: 0.080; Butter &amp; powder: 0.120; Cheese route: 0.600</t>
  </si>
  <si>
    <t xml:space="preserve">Fluid: 0.190; Other manufactured: 0.080; Butter &amp; powder: 0.107; Cheese route: 0.601</t>
  </si>
  <si>
    <t xml:space="preserve">Fluid: 0.190; Other manufactured: 0.080; Butter &amp; powder: 0.090; Cheese route: 0.601</t>
  </si>
  <si>
    <t xml:space="preserve">Fluid: 0.190; Other manufactured: 0.080; Butter &amp; powder: 0.078; Cheese route: 0.602</t>
  </si>
  <si>
    <t xml:space="preserve">Fluid: 0.190; Other manufactured: 0.080; Butter &amp; powder: 0.072; Cheese route: 0.602</t>
  </si>
  <si>
    <t xml:space="preserve">Fluid: 0.190; Other manufactured: 0.080; Butter &amp; powder: 0.123; Cheese route: 0.602</t>
  </si>
  <si>
    <t xml:space="preserve">Fluid: 0.191; Other manufactured: 0.081; Butter &amp; powder: 0.114; Cheese route: 0.605</t>
  </si>
  <si>
    <t xml:space="preserve">Fluid: 0.191; Other manufactured: 0.081; Butter &amp; powder: 0.106; Cheese route: 0.607</t>
  </si>
  <si>
    <t xml:space="preserve">Fluid: 0.190; Other manufactured: 0.080; Butter &amp; powder: 0.122; Cheese route: 0.600</t>
  </si>
  <si>
    <t xml:space="preserve">Fluid: 0.190; Other manufactured: 0.080; Butter &amp; powder: 0.112; Cheese route: 0.601</t>
  </si>
  <si>
    <t xml:space="preserve">Fluid: 0.190; Other manufactured: 0.080; Butter &amp; powder: 0.104; Cheese route: 0.601</t>
  </si>
  <si>
    <t xml:space="preserve">Fluid: 0.197; Other manufactured: 0.087; Butter &amp; powder: 0.139; Cheese route: 0.513</t>
  </si>
  <si>
    <t xml:space="preserve">Fluid: 0.208; Other manufactured: 0.098; Butter &amp; powder: 0.155; Cheese route: 0.382</t>
  </si>
  <si>
    <t xml:space="preserve">Fluid: 0.229; Other manufactured: 0.122; Butter &amp; powder: 0.187; Cheese route: 0.182</t>
  </si>
  <si>
    <t xml:space="preserve">Fluid: 0.243; Other manufactured: 0.139; Butter &amp; powder: 0.210; Cheese route: 0.067</t>
  </si>
  <si>
    <t xml:space="preserve">Fluid: 0.247; Other manufactured: 0.144; Butter &amp; powder: 0.216; Cheese route: 0.040</t>
  </si>
  <si>
    <t xml:space="preserve">Fluid: 0.194; Other manufactured: 0.084; Butter &amp; powder: 0.135; Cheese route: 0.294</t>
  </si>
  <si>
    <t xml:space="preserve">Fluid: 0.198; Other manufactured: 0.088; Butter &amp; powder: 0.141; Cheese route: 0.126</t>
  </si>
  <si>
    <t xml:space="preserve">Fluid: 0.202; Other manufactured: 0.091; Butter &amp; powder: 0.146; Cheese route: 0.045</t>
  </si>
  <si>
    <t xml:space="preserve">Fluid: 0.203; Other manufactured: 0.093; Butter &amp; powder: 0.147; Cheese route: 0.023</t>
  </si>
  <si>
    <t xml:space="preserve">Fluid: 0.203; Other manufactured: 0.093; Butter &amp; powder: 0.148; Cheese route: 0.017</t>
  </si>
  <si>
    <t xml:space="preserve">Fluid: 0.191; Other manufactured: 0.081; Butter &amp; powder: 0.131; Cheese route: 0.593</t>
  </si>
  <si>
    <t xml:space="preserve">Fluid: 0.191; Other manufactured: 0.081; Butter &amp; powder: 0.131; Cheese route: 0.589</t>
  </si>
  <si>
    <t xml:space="preserve">Fluid: 0.191; Other manufactured: 0.081; Butter &amp; powder: 0.131; Cheese route: 0.587</t>
  </si>
  <si>
    <t xml:space="preserve">Fluid: 0.191; Other manufactured: 0.081; Butter &amp; powder: 0.131; Cheese route: 0.586</t>
  </si>
  <si>
    <t xml:space="preserve">Fluid: 0.190; Other manufactured: 0.080; Butter &amp; powder: 0.130; Cheese route: 0.586</t>
  </si>
  <si>
    <t xml:space="preserve">Fluid: 0.190; Other manufactured: 0.080; Butter &amp; powder: 0.130; Cheese route: 0.583</t>
  </si>
  <si>
    <t xml:space="preserve">Fluid: 0.190; Other manufactured: 0.080; Butter &amp; powder: 0.130; Cheese route: 0.582</t>
  </si>
  <si>
    <t xml:space="preserve">Fluid: 0.190; Other manufactured: 0.080; Butter &amp; powder: 0.130; Cheese route: 0.597</t>
  </si>
  <si>
    <t xml:space="preserve">Fluid: 0.188; Other manufactured: 0.078; Butter &amp; powder: 0.128; Cheese route: 0.592</t>
  </si>
  <si>
    <t xml:space="preserve">Fluid: 0.188; Other manufactured: 0.078; Butter &amp; powder: 0.128; Cheese route: 0.593</t>
  </si>
  <si>
    <t xml:space="preserve">Fluid: 0.187; Other manufactured: 0.077; Butter &amp; powder: 0.126; Cheese route: 0.587</t>
  </si>
  <si>
    <t xml:space="preserve">Fluid: 0.189; Other manufactured: 0.079; Butter &amp; powder: 0.128; Cheese route: 0.595</t>
  </si>
  <si>
    <t xml:space="preserve">beef</t>
  </si>
  <si>
    <t xml:space="preserve">eggs_2019-21</t>
  </si>
  <si>
    <t xml:space="preserve">Shell: 0.598; Products: whole: 0.190; Products: separated: 0.112</t>
  </si>
  <si>
    <t xml:space="preserve">Shell: 0.477; Products: whole: 0.167; Products: separated: 0.106</t>
  </si>
  <si>
    <t xml:space="preserve">Shell: 0.000; Products: whole: 0.326; Products: separated: 0.234</t>
  </si>
  <si>
    <t xml:space="preserve">Shell: 0.000; Products: whole: 0.205; Products: separated: 0.115</t>
  </si>
  <si>
    <t xml:space="preserve">Shell: 0.710; Products: whole: 0.000; Products: separated: 0.140</t>
  </si>
  <si>
    <t xml:space="preserve">Shell: 0.680; Products: whole: 0.000; Products: separated: 0.115</t>
  </si>
  <si>
    <t xml:space="preserve">Shell: 0.681; Products: whole: 0.206; Products: separated: 0.107</t>
  </si>
  <si>
    <t xml:space="preserve">Shell: 0.683; Products: whole: 0.207; Products: separated: 0.096</t>
  </si>
  <si>
    <t xml:space="preserve">Shell: 0.685; Products: whole: 0.209; Products: separated: 0.081</t>
  </si>
  <si>
    <t xml:space="preserve">Shell: 0.686; Products: whole: 0.210; Products: separated: 0.074</t>
  </si>
  <si>
    <t xml:space="preserve">Shell: 0.680; Products: whole: 0.205; Products: separated: 0.105</t>
  </si>
  <si>
    <t xml:space="preserve">Shell: 0.680; Products: whole: 0.205; Products: separated: 0.093</t>
  </si>
  <si>
    <t xml:space="preserve">Shell: 0.680; Products: whole: 0.205; Products: separated: 0.078</t>
  </si>
  <si>
    <t xml:space="preserve">Shell: 0.680; Products: whole: 0.205; Products: separated: 0.072</t>
  </si>
  <si>
    <t xml:space="preserve">Shell: 0.682; Products: whole: 0.206; Products: separated: 0.102</t>
  </si>
  <si>
    <t xml:space="preserve">Shell: 0.684; Products: whole: 0.208; Products: separated: 0.085</t>
  </si>
  <si>
    <t xml:space="preserve">Shell: 0.687; Products: whole: 0.211; Products: separated: 0.065</t>
  </si>
  <si>
    <t xml:space="preserve">Shell: 0.680; Products: whole: 0.205; Products: separated: 0.099</t>
  </si>
  <si>
    <t xml:space="preserve">Shell: 0.680; Products: whole: 0.205; Products: separated: 0.081</t>
  </si>
  <si>
    <t xml:space="preserve">Shell: 0.680; Products: whole: 0.205; Products: separated: 0.061</t>
  </si>
  <si>
    <t xml:space="preserve">Shell: 0.680; Products: whole: 0.205; Products: separated: 0.115</t>
  </si>
  <si>
    <t xml:space="preserve">Shell: 0.000; Products: whole: 0.000; Products: separated: 0.000</t>
  </si>
  <si>
    <t xml:space="preserve">eggs_2025</t>
  </si>
  <si>
    <t xml:space="preserve">Shell: 0.599; Products: whole: 0.191; Products: separated: 0.111</t>
  </si>
  <si>
    <t xml:space="preserve">Shell: 0.479; Products: whole: 0.168; Products: separated: 0.104</t>
  </si>
  <si>
    <t xml:space="preserve">Shell: 0.000; Products: whole: 0.329; Products: separated: 0.225</t>
  </si>
  <si>
    <t xml:space="preserve">Shell: 0.711; Products: whole: 0.000; Products: separated: 0.138</t>
  </si>
  <si>
    <t xml:space="preserve">Shell: 0.681; Products: whole: 0.205; Products: separated: 0.110</t>
  </si>
  <si>
    <t xml:space="preserve">Shell: 0.682; Products: whole: 0.206; Products: separated: 0.104</t>
  </si>
  <si>
    <t xml:space="preserve">Shell: 0.683; Products: whole: 0.207; Products: separated: 0.095</t>
  </si>
  <si>
    <t xml:space="preserve">Shell: 0.683; Products: whole: 0.208; Products: separated: 0.090</t>
  </si>
  <si>
    <t xml:space="preserve">Shell: 0.680; Products: whole: 0.205; Products: separated: 0.110</t>
  </si>
  <si>
    <t xml:space="preserve">Shell: 0.680; Products: whole: 0.205; Products: separated: 0.103</t>
  </si>
  <si>
    <t xml:space="preserve">Shell: 0.680; Products: whole: 0.205; Products: separated: 0.088</t>
  </si>
  <si>
    <t xml:space="preserve">Shell: 0.683; Products: whole: 0.208; Products: separated: 0.093</t>
  </si>
  <si>
    <t xml:space="preserve">Shell: 0.686; Products: whole: 0.211; Products: separated: 0.068</t>
  </si>
  <si>
    <t xml:space="preserve">Shell: 0.690; Products: whole: 0.214; Products: separated: 0.045</t>
  </si>
  <si>
    <t xml:space="preserve">Shell: 0.680; Products: whole: 0.205; Products: separated: 0.087</t>
  </si>
  <si>
    <t xml:space="preserve">Shell: 0.680; Products: whole: 0.205; Products: separated: 0.039</t>
  </si>
  <si>
    <t xml:space="preserve">broiler</t>
  </si>
  <si>
    <t xml:space="preserve">pork</t>
  </si>
  <si>
    <t xml:space="preserve">pollock</t>
  </si>
  <si>
    <t xml:space="preserve">salmon</t>
  </si>
  <si>
    <t xml:space="preserve">Full loss of a product's market: cap at the floor price where one exists, otherwise at zero</t>
  </si>
  <si>
    <t xml:space="preserve">Cap used</t>
  </si>
  <si>
    <t xml:space="preserve">Animal change within a year</t>
  </si>
  <si>
    <t xml:space="preserve">Animal change 3-5 years</t>
  </si>
  <si>
    <t xml:space="preserve">Animal change, constant-cost limit</t>
  </si>
  <si>
    <t xml:space="preserve">Product output change (3-5 years)</t>
  </si>
  <si>
    <t xml:space="preserve">Highest co-product price (3-5 years, index)</t>
  </si>
  <si>
    <t xml:space="preserve">Which co-product</t>
  </si>
  <si>
    <t xml:space="preserve">Route exit prices: the cap below which a single-product route receives no raw commodity</t>
  </si>
  <si>
    <t xml:space="preserve">Product (route)</t>
  </si>
  <si>
    <t xml:space="preserve">Exit cap (share of today's price)</t>
  </si>
  <si>
    <t xml:space="preserve">Sources (pages opened; as-of October 2026)</t>
  </si>
  <si>
    <t xml:space="preserve">#</t>
  </si>
  <si>
    <t xml:space="preserve">Source</t>
  </si>
  <si>
    <t xml:space="preserve">Used for</t>
  </si>
  <si>
    <t xml:space="preserve">URL</t>
  </si>
  <si>
    <t xml:space="preserve">Andreyeva T, Long MW, Brownell KD (2010). The impact of food prices on consumption: a systematic review of research on the price elasticity of demand for food. Am J Public Health 100(2):216-222</t>
  </si>
  <si>
    <t xml:space="preserve">Demand elasticities: beef 0.75, pork 0.72, poultry 0.68, milk 0.59, fish 0.50, cheese 0.44, eggs 0.27</t>
  </si>
  <si>
    <t xml:space="preserve">https://media.ruddcenter.uconn.edu/wp-content/uploads/sites/2909/2024/06/FoodPricesElasticity_AJPH_2_10.pdf</t>
  </si>
  <si>
    <t xml:space="preserve">Okrent AM, Alston JM (2012). The demand for disaggregated food-away-from-home and food-at-home products in the United States. USDA ERS ERR-139</t>
  </si>
  <si>
    <t xml:space="preserve">Unconditional own-price elasticities: beef -0.70, pork -1.26, poultry -0.81, eggs -0.24, fish -0.84, cheese -0.70, milk -0.10, other dairy -1.04</t>
  </si>
  <si>
    <t xml:space="preserve">https://ers.usda.gov/sites/default/files/_laserfiche/publications/45003/30438_err139.pdf</t>
  </si>
  <si>
    <t xml:space="preserve">Green R, Cornelsen L, et al. (2013). The effect of rising food prices on food consumption: systematic review with meta-regression. BMJ 346:f3703</t>
  </si>
  <si>
    <t xml:space="preserve">Own-price elasticities by income level: meat -0.60, dairy -0.60, fish -0.61, eggs -0.36 (high income)</t>
  </si>
  <si>
    <t xml:space="preserve">https://ucl.scienceopen.com/document_file/b3c0f2d3-d4f6-4712-94a9-a2a554b29f6c/PubMedCentral/b3c0f2d3-d4f6-4712-94a9-a2a554b29f6c.pdf</t>
  </si>
  <si>
    <t xml:space="preserve">Femenia F (2019). A meta-analysis of the price and income elasticities of food demand. German Journal of Agricultural Economics 68(2):77-97</t>
  </si>
  <si>
    <t xml:space="preserve">Meta-analysis means: meat &amp; fish -0.57, dairy -0.59; GDP per capita lowers elasticities</t>
  </si>
  <si>
    <t xml:space="preserve">https://www.tib-op.org/ojs/index.php/gjae/article/download/2127/2022</t>
  </si>
  <si>
    <t xml:space="preserve">Houck JP (1964). Price elasticities and joint products. Journal of Farm Economics 46(3):652-656</t>
  </si>
  <si>
    <t xml:space="preserve">Derived demand elasticity of a jointly produced raw commodity = value-share-weighted harmonic mean of product elasticities</t>
  </si>
  <si>
    <t xml:space="preserve">https://ideas.repec.org/a/oup/ajagec/v46y1964i3p652-656..html</t>
  </si>
  <si>
    <t xml:space="preserve">Piggott NE, Wohlgenant MK (2002). Price elasticities, joint products, and international trade. Australian Journal of Agricultural and Resource Economics 46(4)</t>
  </si>
  <si>
    <t xml:space="preserve">Extension of Houck to traded joint products</t>
  </si>
  <si>
    <t xml:space="preserve">https://ideas.repec.org/a/ags/aareaj/118592.html</t>
  </si>
  <si>
    <t xml:space="preserve">Gardner BL (1975). The farm-retail price spread in a competitive food industry. AJAE 57(3):399-409</t>
  </si>
  <si>
    <t xml:space="preserve">Equilibrium displacement framework for farm-retail linkages</t>
  </si>
  <si>
    <t xml:space="preserve">https://ideas.repec.org/a/oup/ajagec/v57y1975i3p399-409..html</t>
  </si>
  <si>
    <t xml:space="preserve">Wohlgenant MK (1989). Demand for farm output in a complete system of demand functions. AJAE 71(2):241-252</t>
  </si>
  <si>
    <t xml:space="preserve">Derived demand for farm output; variable proportions raise derived elasticities</t>
  </si>
  <si>
    <t xml:space="preserve">https://ideas.repec.org/a/oup/ajagec/v71y1989i2p241-252..html</t>
  </si>
  <si>
    <t xml:space="preserve">Muth RF (1964). The derived demand curve for a productive factor and the industry supply curve. Oxford Economic Papers 16(2):221-234</t>
  </si>
  <si>
    <t xml:space="preserve">Origin of the equilibrium displacement model</t>
  </si>
  <si>
    <t xml:space="preserve">https://ideas.repec.org/r/oup/oxecpp/v16y1964i2p221-234..html</t>
  </si>
  <si>
    <t xml:space="preserve">Alston JM, Norton GW, Pardey PG (1995). Science under Scarcity. Cornell University Press</t>
  </si>
  <si>
    <t xml:space="preserve">Standard EDM formulas and surplus measures</t>
  </si>
  <si>
    <t xml:space="preserve">https://cgspace.cgiar.org/server/api/core/bitstreams/b17c07cf-e0d3-4e1f-bc9c-acdd1649d578/content</t>
  </si>
  <si>
    <t xml:space="preserve">Zhao X, Mullen JD, Griffith GR (2005). Functional forms, exogenous shifts and economic surplus changes (working paper version of the 1997 AJAE article)</t>
  </si>
  <si>
    <t xml:space="preserve">Log-differential EDM forms</t>
  </si>
  <si>
    <t xml:space="preserve">https://ageconsearch.umn.edu/record/12910/files/wp050003.pdf</t>
  </si>
  <si>
    <t xml:space="preserve">Harrington DH, Dubman R (2008). Equilibrium displacement mathematical programming models. USDA ERS TB-1918</t>
  </si>
  <si>
    <t xml:space="preserve">Demand elasticities fed beef -0.52, hogs -0.43, dairy -0.31, broilers -0.63, eggs -0.23; supply response beef 1.07, hogs 0.79, dairy 0.89, broilers 1.15, eggs 1.04</t>
  </si>
  <si>
    <t xml:space="preserve">https://ers.usda.gov/sites/default/files/_laserfiche/publications/47526/12867_tb1918.pdf</t>
  </si>
  <si>
    <t xml:space="preserve">Brester GW, Atwood JA, Boland MA (2023). Equilibrium Displacement Models: Theory, Applications, &amp; Policy Analysis. University of Minnesota Libraries Publishing</t>
  </si>
  <si>
    <t xml:space="preserve">Open textbook on EDMs</t>
  </si>
  <si>
    <t xml:space="preserve">https://conservancy.umn.edu/items/343e466f-d053-4b9d-bc1c-0b4b1e9b3a6c</t>
  </si>
  <si>
    <t xml:space="preserve">Lusk JL, Norwood FB (2009). Some economic benefits and costs of vegetarianism. Agricultural and Resource Economics Review 38(2):109-124</t>
  </si>
  <si>
    <t xml:space="preserve">Long-run supply elasticities beef 0.82, pork 1.56, chicken 0.70 (from Marsh 2007)</t>
  </si>
  <si>
    <t xml:space="preserve">https://ageconsearch.umn.edu/record/55529/files/lusk%20-%20current.pdf</t>
  </si>
  <si>
    <t xml:space="preserve">Norwood FB, Lusk JL (2011). Compassion, by the Pound. Oxford University Press (figures as reproduced by Tomasik)</t>
  </si>
  <si>
    <t xml:space="preserve">Displacement per unit given up: milk 0.56, beef 0.68, pork 0.74, chicken 0.76, eggs 0.91</t>
  </si>
  <si>
    <t xml:space="preserve">https://reducing-suffering.org/comments-on-compassion-by-the-pound</t>
  </si>
  <si>
    <t xml:space="preserve">Chung C, Kaiser HM (1998). Cornell RB 98-10 (reproducing Wohlgenant 1993 parameters)</t>
  </si>
  <si>
    <t xml:space="preserve">Retail demand beef -0.78, pork -0.98; farm supply beef 0.15, pork 0.40</t>
  </si>
  <si>
    <t xml:space="preserve">https://ageconsearch.umn.edu/record/122701/files/Cornell_Dyson_rb9810.pdf</t>
  </si>
  <si>
    <t xml:space="preserve">Chavas J-P, Klemme RM (1984/1986). Aggregate milk supply response and investment behavior on US dairy farms. AJAE 68(1):55-66 (1984 AAEA draft)</t>
  </si>
  <si>
    <t xml:space="preserve">Milk supply elasticity 0.115 (current year), 0.89 (5-year), 2.46 (10-year)</t>
  </si>
  <si>
    <t xml:space="preserve">https://ageconsearch.umn.edu/record/279087/files/aaea-1984-139.pdf</t>
  </si>
  <si>
    <t xml:space="preserve">Bouamra-Mechemache Z, et al. (2005). EU dairy sector: impact of Luxembourg reform, EU enlargement and trade negotiations. EAAE Congress</t>
  </si>
  <si>
    <t xml:space="preserve">EU medium-run milk supply elasticities 0.18-0.65 (EU-25 average 0.45)</t>
  </si>
  <si>
    <t xml:space="preserve">https://ageconsearch.umn.edu/record/24581/files/os05bo02.pdf</t>
  </si>
  <si>
    <t xml:space="preserve">Bouamra-Mechemache Z, Requillart V, Soregaroli C, Trevisiol A (2008). Demand for dairy products in the EU. Food Policy 33(6)</t>
  </si>
  <si>
    <t xml:space="preserve">EU dairy demand elasticities: milk -0.53, butter -0.47, cheese -0.60</t>
  </si>
  <si>
    <t xml:space="preserve">https://publications.ut-capitole.fr/id/eprint/2217/1/eu_dairy_demand.pdf</t>
  </si>
  <si>
    <t xml:space="preserve">Davis CG, Dong D, Blayney DP, Owens A (2010). An analysis of US household dairy demand. USDA ERS TB-1928</t>
  </si>
  <si>
    <t xml:space="preserve">Household-level dairy elasticities (more elastic than aggregate)</t>
  </si>
  <si>
    <t xml:space="preserve">https://ageconsearch.umn.edu/record/184308/files/tb1928.pdf</t>
  </si>
  <si>
    <t xml:space="preserve">Kapombe CM, Colyer D (1998). Aggregate broiler supply response. Agricultural and Resource Economics Review 27(2)</t>
  </si>
  <si>
    <t xml:space="preserve">Broiler supply elasticity SR 0.07, LR 0.13; Chavas &amp; Johnson 1982: 0.02</t>
  </si>
  <si>
    <t xml:space="preserve">https://ageconsearch.umn.edu/record/31527/files/27020241.pdf</t>
  </si>
  <si>
    <t xml:space="preserve">Chavas J-P (1980). Egg supply response (AAEA paper)</t>
  </si>
  <si>
    <t xml:space="preserve">Egg supply elasticity 0.03 (short run)</t>
  </si>
  <si>
    <t xml:space="preserve">https://ageconsearch.umn.edu/record/278856/files/aaea-1980-046.pdf</t>
  </si>
  <si>
    <t xml:space="preserve">Schmit TM, Kaiser HM (1998). Egg advertising, dietary cholesterol concerns, and US consumer demand. ARER</t>
  </si>
  <si>
    <t xml:space="preserve">Egg demand -0.08; cites long-run egg supply elasticity ~1 (Chavas &amp; Johnson 1981)</t>
  </si>
  <si>
    <t xml:space="preserve">https://ageconsearch.umn.edu/record/31510/files/27010043.pdf</t>
  </si>
  <si>
    <t xml:space="preserve">Bakhtavoryan R, et al. (2021). An empirical evaluation of egg demand in the United States. JAAE 53</t>
  </si>
  <si>
    <t xml:space="preserve">Conventional eggs -0.235; specialty eggs ~-1</t>
  </si>
  <si>
    <t xml:space="preserve">https://www.cambridge.org/core/services/aop-cambridge-core/content/view/7864639C84815808DADFD607CCD583E7/S1074070821000092a.pdf/an-empirical-evaluation-of-egg-demand-in-the-united-states.pdf</t>
  </si>
  <si>
    <t xml:space="preserve">Tonsor GT, Lusk JL (2024). Price sensitivity of meat demand (scanner data report, Kansas State University)</t>
  </si>
  <si>
    <t xml:space="preserve">Product-level elasticities: pork loin -1.45, bacon -0.83, sausage -2.07</t>
  </si>
  <si>
    <t xml:space="preserve">https://agmanager.info/sites/default/files/pdf/TonsorLusk_PriceSensitivity_2024-Report_03-07-24.pdf</t>
  </si>
  <si>
    <t xml:space="preserve">Beach RH, et al. (2007). Economic analysis of the effectiveness of the Pork Checkoff program. RTI</t>
  </si>
  <si>
    <t xml:space="preserve">Meat demand elasticities beef -0.76, pork -0.64, poultry -0.38</t>
  </si>
  <si>
    <t xml:space="preserve">https://www.rti.org/publication/economic-analysis-effectiveness-pork-checkoff-program-final-report/fulltext.pdf</t>
  </si>
  <si>
    <t xml:space="preserve">Asche F, Bjorndal T, Gordon DV (2005/2007). Studies in the demand structure for fish and seafood products. SNF working paper</t>
  </si>
  <si>
    <t xml:space="preserve">Fish demand elasticities around -1; cod fillets -0.5 to -1.9</t>
  </si>
  <si>
    <t xml:space="preserve">https://snf.no/media/cjikros1/a37_05.pdf</t>
  </si>
  <si>
    <t xml:space="preserve">Asheim LJ, Dahl RE, Kumbhakar SC, Oglend A, Tveteras R (2011). Are prices or biology driving the short-term supply of farmed salmon? Marine Resource Economics 26(4)</t>
  </si>
  <si>
    <t xml:space="preserve">Salmon supply elasticity SR 0.09, LR 0.14</t>
  </si>
  <si>
    <t xml:space="preserve">https://researchconnect.suny.edu/en/publications/are-prices-or-biology-driving-the-short-term-supply-of-farmed-sal/</t>
  </si>
  <si>
    <t xml:space="preserve">Tveteras S, Tveteras R (2010). The global competition for wild fish resources between livestock and aquaculture. Journal of Agricultural Economics 61(2)</t>
  </si>
  <si>
    <t xml:space="preserve">Fishmeal demand inelastic</t>
  </si>
  <si>
    <t xml:space="preserve">https://ideas.repec.org/a/bla/jageco/v61y2010i2p381-397.html</t>
  </si>
  <si>
    <t xml:space="preserve">USDA AMS. Final rule on amendments to the Federal Milk Marketing Orders (2025); Price formulas</t>
  </si>
  <si>
    <t xml:space="preserve">Make allowances cheese 0.2519, butter 0.2272, NFDM 0.2393, dry whey 0.2668; yield factors</t>
  </si>
  <si>
    <t xml:space="preserve">https://www.federalregister.gov/documents/2025/01/17/2025-00563/milk-in-the-northeast-and-other-marketing-areas-uniform-pricing-formula-provisions</t>
  </si>
  <si>
    <t xml:space="preserve">USDA AMS. Announced class and component prices, September 2026</t>
  </si>
  <si>
    <t xml:space="preserve">Class III 16.04, Class IV 18.94; protein 2.6619, butterfat 1.4762, other solids 0.4147 $/lb; cheese 1.5577, dry whey 0.6694</t>
  </si>
  <si>
    <t xml:space="preserve">https://www.ams.usda.gov/mnreports/dymclassprices.pdf</t>
  </si>
  <si>
    <t xml:space="preserve">USDA AMS. Advanced prices, October 2026</t>
  </si>
  <si>
    <t xml:space="preserve">Class I base 18.88 $/cwt</t>
  </si>
  <si>
    <t xml:space="preserve">https://www.ams.usda.gov/mnreports/dymadvancedprices.pdf</t>
  </si>
  <si>
    <t xml:space="preserve">USDA AMS Dairy Market News. Weekly report, 5-9 October 2026</t>
  </si>
  <si>
    <t xml:space="preserve">Dry whey 0.64-0.80, WPC34 2.40-2.70, lactose 0.66-0.76, feed whey 0.35-0.38 $/lb; SMP Oceania $3,700-3,850/t</t>
  </si>
  <si>
    <t xml:space="preserve">https://www.ams.usda.gov/mnreports/dywweeklyreport.pdf</t>
  </si>
  <si>
    <t xml:space="preserve">USDA AMS Dairy Market News. Whey protein concentrate, Central and West, 12-16 October 2026 (report 1053)</t>
  </si>
  <si>
    <t xml:space="preserve">WPC80 'mostly in the $9s', WPI 'mostly in the $14s' per lb</t>
  </si>
  <si>
    <t xml:space="preserve">https://www.ams.usda.gov/mnreports/ams_1053.pdf</t>
  </si>
  <si>
    <t xml:space="preserve">USDA AMS Dairy Market News. Central US dry whey monthly average mostly prices 2022-2026</t>
  </si>
  <si>
    <t xml:space="preserve">Dry whey trough 0.25 $/lb (Jul 2023); 0.68 (Sep 2026)</t>
  </si>
  <si>
    <t xml:space="preserve">https://www.ams.usda.gov/mnreports/dymawhey_cent.pdf</t>
  </si>
  <si>
    <t xml:space="preserve">USDA AMS Dairy Market News. WPC 34% monthly average mostly prices 2022-2026</t>
  </si>
  <si>
    <t xml:space="preserve">WPC34 0.82 (Aug 2023) to 2.46 $/lb (Sep 2026)</t>
  </si>
  <si>
    <t xml:space="preserve">https://www.ams.usda.gov/mnreports/dymawpc.pdf</t>
  </si>
  <si>
    <t xml:space="preserve">USDA AMS Dairy Market News. Casein, 12-16 October 2026 (report 1051)</t>
  </si>
  <si>
    <t xml:space="preserve">Acid casein $4.20-5.00/lb (Oceania), rennet casein $4.30-5.45/lb (Europe)</t>
  </si>
  <si>
    <t xml:space="preserve">https://www.ams.usda.gov/mnreports/ams_1051.pdf</t>
  </si>
  <si>
    <t xml:space="preserve">USDA NASS. Dairy Products 2025 Summary (April 2026)</t>
  </si>
  <si>
    <t xml:space="preserve">Cheese 14.8 bn lb; dry whey 845 m lb; WPC 502 m lb; WPI 214 m lb; lactose 1,137 m lb</t>
  </si>
  <si>
    <t xml:space="preserve">https://esmis.nal.usda.gov/sites/default/release-files/795874/daryan26.pdf</t>
  </si>
  <si>
    <t xml:space="preserve">USDA NASS. Milk Production, Disposition and Income 2025 Summary</t>
  </si>
  <si>
    <t xml:space="preserve">US milk 231.7 bn lb; all-milk price $21.19/cwt; cash receipts $48.9 bn</t>
  </si>
  <si>
    <t xml:space="preserve">https://esmis.nal.usda.gov/sites/default/release-files/795884/mlkpdi26.pdf</t>
  </si>
  <si>
    <t xml:space="preserve">USDA ERS. Milk cost of production, by size of operation (2023-2025)</t>
  </si>
  <si>
    <t xml:space="preserve">Cattle sales 1.94 of 24.94 $/cwt gross value (2024): 7.8%</t>
  </si>
  <si>
    <t xml:space="preserve">https://www.ers.usda.gov/media/5059/by-size-of-operation.csv?v=60696</t>
  </si>
  <si>
    <t xml:space="preserve">Hoard's Dairyman / CoBank (24 Aug 2026). Cheddar yields climbed nearly 15% in 15 years</t>
  </si>
  <si>
    <t xml:space="preserve">Cheddar yield 10.6 lb/cwt (2020), 11.6 (2025)</t>
  </si>
  <si>
    <t xml:space="preserve">https://hoards.com/article-38525-Cheddar-yields-climbed-nearly-15-in-15-years.html</t>
  </si>
  <si>
    <t xml:space="preserve">Cheese Market News (2007). Sommer D. Whey economics guest column</t>
  </si>
  <si>
    <t xml:space="preserve">~9 lb whey per lb cheese; whey historically given away; 2-5% of Class III value before 2007</t>
  </si>
  <si>
    <t xml:space="preserve">https://www.cheesemarketnews.com/guestcolumn/2007/19oct07_02.html</t>
  </si>
  <si>
    <t xml:space="preserve">USDA ERS Amber Waves (2008). Whey, once a marginal byproduct, comes into its own</t>
  </si>
  <si>
    <t xml:space="preserve">Dry whey 14-34 c/lb 1999-2006</t>
  </si>
  <si>
    <t xml:space="preserve">https://ageconsearch.umn.edu/record/123222/files/Whey.pdf</t>
  </si>
  <si>
    <t xml:space="preserve">Dairy Herd (1 Oct 2026). The tail wagging the dog: how dairy's byproducts became the main event</t>
  </si>
  <si>
    <t xml:space="preserve">WPC/WPI $9-11/lb; whey revenue now drives cheese-plant investment</t>
  </si>
  <si>
    <t xml:space="preserve">https://www.dairyherd.com/news/tail-wagging-dog-how-dairys-byproducts-became-main-event</t>
  </si>
  <si>
    <t xml:space="preserve">AP via Fortune (14 Jun 2026). The world wants more high-protein products, but there's not enough whey</t>
  </si>
  <si>
    <t xml:space="preserve">WPC80 &gt;$13/lb, up 250% y/y; EU WPC80 record EUR 26,450/t</t>
  </si>
  <si>
    <t xml:space="preserve">https://www.fortune.com/2026/06/14/prices-whey-protein-ingredients-us-dairy-commodities-markets-high-demand/</t>
  </si>
  <si>
    <t xml:space="preserve">USDA NASS. Chickens and Eggs 2025 Summary; Egg Products (Feb 2026)</t>
  </si>
  <si>
    <t xml:space="preserve">Table eggs 7,504 m dozen; 2,411 m dozen broken (32%); liquid whole 1,817, white 681, yolk 345 m lb (Jan-Nov 2025)</t>
  </si>
  <si>
    <t xml:space="preserve">https://esmis.nal.usda.gov/sites/default/release-files/795795/eggs0226.pdf</t>
  </si>
  <si>
    <t xml:space="preserve">USDA AMS. Egg Grading Manual (Agriculture Handbook 75)</t>
  </si>
  <si>
    <t xml:space="preserve">Egg composition: shell 11%, white 58%, yolk 31%; white 11% protein, yolk 17.5% protein</t>
  </si>
  <si>
    <t xml:space="preserve">https://www.ams.usda.gov/sites/default/files/media/Egg%20Grading%20Manual.pdf</t>
  </si>
  <si>
    <t xml:space="preserve">USDA AMS. Weekly egg products report, 11 Oct 2019</t>
  </si>
  <si>
    <t xml:space="preserve">Liquid whole 32.9, whites 23.6, yolk 45.9 c/lb; dried albumen $4.78/lb</t>
  </si>
  <si>
    <t xml:space="preserve">https://esmis.nal.usda.gov/sites/default/release-files/rb68xb87r/xs55ms05z/w3763m75z/PYWEGGPRODUCTS.PDF</t>
  </si>
  <si>
    <t xml:space="preserve">USDA AMS. Egg Markets Overview and egg products report, September 2025 and October 2026</t>
  </si>
  <si>
    <t xml:space="preserve">Sep 2025: shell $2.08/doz, breaking stock $1.39, liquid whole 115.5, whites 91.4, yolk 357 c/lb; Oct 2026: shell $0.43, breaking stock $0.08, liquid whole 14.3 c/lb</t>
  </si>
  <si>
    <t xml:space="preserve">https://www.ams.usda.gov/mnreports/ams_3725.pdf</t>
  </si>
  <si>
    <t xml:space="preserve">USDA AMS. Weekly National Fowl Market (spent hens)</t>
  </si>
  <si>
    <t xml:space="preserve">Spent layer removal cost 0-5 c/head</t>
  </si>
  <si>
    <t xml:space="preserve">https://www.ams.usda.gov/mnreports/pywfowl.pdf</t>
  </si>
  <si>
    <t xml:space="preserve">Freeman SR, et al. (2009). Spent hens, Bioresource Technology 100:4515 (via World Egg Organisation)</t>
  </si>
  <si>
    <t xml:space="preserve">144 m spent layers/yr; meat value barely covers handling</t>
  </si>
  <si>
    <t xml:space="preserve">https://www.worldeggorganisation.com/app/uploads/2010/08/Freeman_-2009_1.pdf</t>
  </si>
  <si>
    <t xml:space="preserve">Faber FL (1971). The egg products industry: structure, practices and costs 1951-69. USDA ERS MRR-917</t>
  </si>
  <si>
    <t xml:space="preserve">White and yolk prices are interrelated; separated parts plus separation cost must at least equal whole-egg value</t>
  </si>
  <si>
    <t xml:space="preserve">https://ageconsearch.umn.edu/record/312140/files/mrr917.pdf</t>
  </si>
  <si>
    <t xml:space="preserve">Baking Business (22 Oct 2013). Egg white craze pushes prices to record highs</t>
  </si>
  <si>
    <t xml:space="preserve">Dried whites $8.15-8.70 vs dried yolks $2.00-2.20/lb; inversion of the historical yolk premium</t>
  </si>
  <si>
    <t xml:space="preserve">https://www.bakingbusiness.com/articles/23872-egg-white-craze-pushes-prices-to-record-highs</t>
  </si>
  <si>
    <t xml:space="preserve">Abeyrathne EDNS, Lee HY, Ahn DU (2013). Egg white proteins and their potential use in food processing. Poultry Science 92:3292</t>
  </si>
  <si>
    <t xml:space="preserve">Egg white protein: ovalbumin 54%, ovotransferrin 12%, ovomucoid 11%, lysozyme 3.5%</t>
  </si>
  <si>
    <t xml:space="preserve">https://lib.dr.iastate.edu/ans_pubs/885/</t>
  </si>
  <si>
    <t xml:space="preserve">USDA AMS. National daily boxed beef cutout, 15 Oct 2026 (LM_XB403)</t>
  </si>
  <si>
    <t xml:space="preserve">Choice cutout 373.98 $/cwt; primals rib 676, chuck 337, round 295, loin 450, brisket 288, plate 222, flank 160</t>
  </si>
  <si>
    <t xml:space="preserve">https://www.ams.usda.gov/mnreports/ams_2453.pdf</t>
  </si>
  <si>
    <t xml:space="preserve">USDA AMS. LMR boxed beef cutouts user guide</t>
  </si>
  <si>
    <t xml:space="preserve">Primal yield factors: rib 11.40%, chuck 29.62%, round 22.32%, loin 21.26%, brisket 4.95%, plate 7.10%, flank 3.35%</t>
  </si>
  <si>
    <t xml:space="preserve">https://www.ams.usda.gov/sites/default/files/media/LMRBoxedBeefCutoutsUserGuide.pdf</t>
  </si>
  <si>
    <t xml:space="preserve">USDA AMS. By-product drop value (steer), 15 Oct 2026</t>
  </si>
  <si>
    <t xml:space="preserve">Drop value 15.12 $/cwt live; hide 1.75; tallow 3.86; offal and meals</t>
  </si>
  <si>
    <t xml:space="preserve">https://www.ams.usda.gov/mnreports/ams_2829.pdf</t>
  </si>
  <si>
    <t xml:space="preserve">USDA AMS. 5-area weekly weighted average direct slaughter cattle, w/e 11 Oct 2026</t>
  </si>
  <si>
    <t xml:space="preserve">Live steers 220.14 $/cwt; dressed 345.66</t>
  </si>
  <si>
    <t xml:space="preserve">https://www.ams.usda.gov/mnreports/ams_2477.pdf</t>
  </si>
  <si>
    <t xml:space="preserve">USDA AMS. Weekly national carlot meat report, w/e 10 Oct 2026</t>
  </si>
  <si>
    <t xml:space="preserve">50% lean trim 93.41, 90% lean 398.80 $/cwt; ground beef 81% 342.48</t>
  </si>
  <si>
    <t xml:space="preserve">https://www.ams.usda.gov/mnreports/lswwklyblue.pdf</t>
  </si>
  <si>
    <t xml:space="preserve">Marti DL, Johnson RJ, Mathews KH (2011). Where's the (not) meat? Byproducts from beef and pork production. USDA ERS LDP-M-209-01</t>
  </si>
  <si>
    <t xml:space="preserve">Byproducts 44% of cattle liveweight, 30% of hog; &gt;10% of cattle value, &gt;6% of hog value</t>
  </si>
  <si>
    <t xml:space="preserve">https://ers.usda.gov/sites/default/files/_laserfiche/outlooks/37427/8801_ldpm20901.pdf?v=54414</t>
  </si>
  <si>
    <t xml:space="preserve">Peel D (Oklahoma State University, 27 Apr 2026). The hamburger story</t>
  </si>
  <si>
    <t xml:space="preserve">Ground beef 28.6 lb per person of 59.8 lb beef; imported trim 38.7% of ground-beef trim in 2025</t>
  </si>
  <si>
    <t xml:space="preserve">http://www.oklahomafarmreport.com/2026/04/27/cow-calf-corner-dr-derrell-peel-the-hamburger-story/</t>
  </si>
  <si>
    <t xml:space="preserve">BLS via FRED. Average price: ground beef (APU0000703112) and sirloin steak (APU0000703613), Sep 2026</t>
  </si>
  <si>
    <t xml:space="preserve">Ground beef $6.79/lb; sirloin $14.11/lb</t>
  </si>
  <si>
    <t xml:space="preserve">https://fred.stlouisfed.org/series/APU0000703112</t>
  </si>
  <si>
    <t xml:space="preserve">USDA AMS. National daily pork report FOB plant, 9 Oct 2026; weekly w/e 25 Sep 2026</t>
  </si>
  <si>
    <t xml:space="preserve">Cutout 80.50-89.20 $/cwt; loin 87.87, butt 111.54, picnic 67.68, rib 159.18, ham 86.85, belly 96.81</t>
  </si>
  <si>
    <t xml:space="preserve">https://s3.amazonaws.com/barchart-news-store-prod/external_links/USDA/20261009-lsddhps.pdf</t>
  </si>
  <si>
    <t xml:space="preserve">USDA AMS. LMR pork cutout handout, Appendix C</t>
  </si>
  <si>
    <t xml:space="preserve">Primal yields: loin 25.17%, butt 10.16%, picnic 11.37%, rib 4.81%, ham 24.59%, belly 16.28%</t>
  </si>
  <si>
    <t xml:space="preserve">https://www.ams.usda.gov/sites/default/files/media/LMRPorkCutoutHandout.pdf</t>
  </si>
  <si>
    <t xml:space="preserve">USDA AMS. Hog by-product value, 9 Oct 2026</t>
  </si>
  <si>
    <t xml:space="preserve">Drop value 5.12 $/cwt live</t>
  </si>
  <si>
    <t xml:space="preserve">https://www.ams.usda.gov/mnreports/AMS_2835.pdf</t>
  </si>
  <si>
    <t xml:space="preserve">Davis CG, Lin BH (2005). Factors affecting US pork consumption. USDA ERS LDP-M-130-01</t>
  </si>
  <si>
    <t xml:space="preserve">Pork consumed 38% fresh / 62% processed</t>
  </si>
  <si>
    <t xml:space="preserve">https://ers.usda.gov/sites/default/files/_laserfiche/outlooks/37377/15778_ldpm13001_1_.pdf?v=75163</t>
  </si>
  <si>
    <t xml:space="preserve">USDA AMS. Monthly national chicken report, 2 Oct 2026; weekly 24 Jan 2025</t>
  </si>
  <si>
    <t xml:space="preserve">Parts prices: breast, tenders, wings, leg quarters, backs/necks, MSC</t>
  </si>
  <si>
    <t xml:space="preserve">https://esmis.nal.usda.gov/sites/default/release-files/kp78hr440/sx61gg541/3f464086h/AMS_3646.PDF</t>
  </si>
  <si>
    <t xml:space="preserve">Cobb-Vantress. Broiler yield poster (Cobb 500)</t>
  </si>
  <si>
    <t xml:space="preserve">Part yields as % of live weight: breast 22.05, tenders 4.0, wings 7.58, leg quarters 31.62, feathers 4.13, blood 2.5, feet 4.5</t>
  </si>
  <si>
    <t xml:space="preserve">https://cobbgenetics.com/assets/Cobb-Files/Broiler-Yield-Poster-English.pdf</t>
  </si>
  <si>
    <t xml:space="preserve">National Chicken Council. How broilers are marketed</t>
  </si>
  <si>
    <t xml:space="preserve">2024: 8% whole, 39% cut-up, 52% further processed</t>
  </si>
  <si>
    <t xml:space="preserve">https://www.nationalchickencouncil.org/statistic/how-broilers-are-marketed</t>
  </si>
  <si>
    <t xml:space="preserve">FSIS (1995). Mechanically separated poultry labeling rule</t>
  </si>
  <si>
    <t xml:space="preserve">MSC must be declared; &lt;=1% bone solids</t>
  </si>
  <si>
    <t xml:space="preserve">https://www.govinfo.gov/content/pkg/FR-1995-11-03/html/95-27305.htm</t>
  </si>
  <si>
    <t xml:space="preserve">NOAA / SeafoodSource (2024). Alaska pollock production by product</t>
  </si>
  <si>
    <t xml:space="preserve">Surimi 170 kt, fillets 168 kt, H&amp;G 40 kt, mince 24 kt, roe 21 kt, meal 70 kt, oil 27 kt</t>
  </si>
  <si>
    <t xml:space="preserve">https://www.seafoodsource.com/news/supply-trade/alaska-wraps-up-pollock-fishing-in-2024-strong-bering-sea-b-season-brings-catch-totals-near-limit</t>
  </si>
  <si>
    <t xml:space="preserve">NOAA AFSC (2020). Economic status of the groundfish fisheries off Alaska</t>
  </si>
  <si>
    <t xml:space="preserve">Fillets, surimi and roe 86.5% of BSAI pollock first-wholesale value (2019)</t>
  </si>
  <si>
    <t xml:space="preserve">https://apps-afsc.fisheries.noaa.gov/refm/docs/2020/econGroundfishSafe.pdf</t>
  </si>
  <si>
    <t xml:space="preserve">GAPP (2025). Quarterly market reports</t>
  </si>
  <si>
    <t xml:space="preserve">Surimi $2,200-2,900/t</t>
  </si>
  <si>
    <t xml:space="preserve">https://www.alaskapollock.org/media/j14jkf1c/2025-q1-base-report-wo-cs.pdf</t>
  </si>
  <si>
    <t xml:space="preserve">EUMOFA. Alaska pollock species profile</t>
  </si>
  <si>
    <t xml:space="preserve">EU import price frozen pollock fillets EUR 2.70-3.80/kg (2021-2025)</t>
  </si>
  <si>
    <t xml:space="preserve">https://fishery-aquaculture-market-observatory.ec.europa.eu/en/country-and-species-profiles/species-profiles/alaska-pollock</t>
  </si>
  <si>
    <t xml:space="preserve">NMFS. Standard product recovery rates, 50 CFR 679 Table 3</t>
  </si>
  <si>
    <t xml:space="preserve">Pollock fillet recovery 0.21-0.35; surimi 0.16-0.17; meal 0.17</t>
  </si>
  <si>
    <t xml:space="preserve">https://elandings.atlassian.net/wiki/download/attachments/10427673/Tab3_PRRs.pdf?api=v2</t>
  </si>
  <si>
    <t xml:space="preserve">World Bank Commodity Price Data via Protein Report (Oct 2026)</t>
  </si>
  <si>
    <t xml:space="preserve">Fishmeal $1,483/t (Sep 2021) to $2,916/t (Sep 2026)</t>
  </si>
  <si>
    <t xml:space="preserve">https://www.proteinreport.org/data/series/global-fish-meal-price</t>
  </si>
  <si>
    <t xml:space="preserve">IFFO (2026). By-products in marine ingredients</t>
  </si>
  <si>
    <t xml:space="preserve">34% of fishmeal and 54% of fish oil from by-products (2024)</t>
  </si>
  <si>
    <t xml:space="preserve">https://www.iffo.com/product</t>
  </si>
  <si>
    <t xml:space="preserve">Seafish (2025). Frozen seafood in multiple retail; seafood consumption factsheets</t>
  </si>
  <si>
    <t xml:space="preserve">UK fish fingers 39 kt at GBP 5.06/kg; pollock ~93% frozen/coated</t>
  </si>
  <si>
    <t xml:space="preserve">https://www.seafish.org/media/jqopmymk/frozen-seafood-in-multiple-retail-factsheet-2025.pdf</t>
  </si>
  <si>
    <t xml:space="preserve">SINTEF (2024). Analyse marint restrastoff 2023</t>
  </si>
  <si>
    <t xml:space="preserve">Norway 1,135 kt rest raw material, 88% utilised; salmon by-products ~NOK 7/kg</t>
  </si>
  <si>
    <t xml:space="preserve">https://sintef.no/contentassets/f87ee6b4a78846888459395cc020262e/analyse-marint-restrastoff-2023-1.pdf</t>
  </si>
  <si>
    <t xml:space="preserve">Fiskeridirektoratet (2024). Lonnsomhetsundersokelse 2023</t>
  </si>
  <si>
    <t xml:space="preserve">Salmon production cost NOK 60.23/kg (2023)</t>
  </si>
  <si>
    <t xml:space="preserve">https://www.fiskeridir.no/Akvakultur/Tall-og-analyse/Statistiske-publikasjoner/_/attachment/download/134691af-f5ad-4b7e-b298-dc5883bb1e25:7ffcb1aeca8dc90f13c2d90e639cbd2d2c326e20/rap-lonnsomhet-akvakultur-2023.pdf</t>
  </si>
  <si>
    <t xml:space="preserve">Thunen Institute (2025). Salmon rest raw material flows in German processing. Frontiers in Sustainable Food Systems</t>
  </si>
  <si>
    <t xml:space="preserve">33% of HOG salmon becomes rest raw material</t>
  </si>
  <si>
    <t xml:space="preserve">https://www.frontiersin.org/journals/sustainable-food-systems/articles/10.3389/fsufs.2025.1633288/pdf</t>
  </si>
  <si>
    <t xml:space="preserve">GFI (June 2025). Driving down costs: meta-analysis of techno-economic models of fermentation-derived ingredients</t>
  </si>
  <si>
    <t xml:space="preserve">PF food protein cost of production $11-14,000/kg across models; parity targets whey $8-18/kg, casein $8-11/kg, egg white $1.6-14/kg</t>
  </si>
  <si>
    <t xml:space="preserve">https://gfi.org/fd-tea-pdf</t>
  </si>
  <si>
    <t xml:space="preserve">GFI Europe &amp; Arthur D. Little (July 2025). Pathfinding towards precision fermentation viability</t>
  </si>
  <si>
    <t xml:space="preserve">PF alpha-lactalbumin base case $24/kg to $12/kg; benchmarks beta-lactoglobulin $11-17/kg, ovalbumin $12/kg, casein $7/kg</t>
  </si>
  <si>
    <t xml:space="preserve">https://gfieurope.org/wp-content/uploads/2025/07/Pathfinding-towards-precision-fermentation-viability.pdf</t>
  </si>
  <si>
    <t xml:space="preserve">Humbird D (2021). Scale-up economics for cultured meat. Biotechnology and Bioengineering 118:3239</t>
  </si>
  <si>
    <t xml:space="preserve">Cultivated cell mass $37-51/kg at scale</t>
  </si>
  <si>
    <t xml:space="preserve">https://coefficientgiving.org/wp-content/uploads/Humbird-Scale%E2%80%90up-economics-for-cultured-meat.pdf</t>
  </si>
  <si>
    <t xml:space="preserve">Fletcher AJ, Smith NW, Hill JP, McNabb WC (2024). Modeling the feasibility of fermentation-produced protein at a globally relevant scale. Frontiers in Sustainable Food Systems 8</t>
  </si>
  <si>
    <t xml:space="preserve">Process-input cost ~$3/kg protein at 50 g/L</t>
  </si>
  <si>
    <t xml:space="preserve">https://www.frontiersin.org/journals/sustainable-food-systems/articles/10.3389/fsufs.2024.1419259/full</t>
  </si>
  <si>
    <t xml:space="preserve">EA Forum (2019). What is the current best estimate of the cumulative elasticity of chicken?</t>
  </si>
  <si>
    <t xml:space="preserve">Discussion of 'cumulative elasticity' (displacement rate) estimates 0.06-0.76</t>
  </si>
  <si>
    <t xml:space="preserve">https://forum.effectivealtruism.org/posts/fZp6Fpowmd5a8Lu2w/what-is-the-current-best-estimate-of-the-cumulative</t>
  </si>
  <si>
    <t xml:space="preserve">Thomsen MR. An interactive text for food and agricultural marketing, section 4.3</t>
  </si>
  <si>
    <t xml:space="preserve">Closed-form single-market EDM: %dQ = (phi %dD - eps %dS)/(phi - eps)</t>
  </si>
  <si>
    <t xml:space="preserve">https://socialsci.libretexts.org/Bookshelves/Economics/An_Interactive_Text_for_Food_and_Agricultural_Marketing_(Thomsen)/04%3A_Supply_Demand_and_Equilibrium/4.03%3A_Section_3-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</si>
</sst>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.00"/>
    <numFmt numFmtId="167" formatCode="0.000"/>
    <numFmt numFmtId="168" formatCode="#,##0.000"/>
    <numFmt numFmtId="169" formatCode="0.0000"/>
    <numFmt numFmtId="170" formatCode="0.00%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F81BD"/>
      <rgbColor rgb="FF878787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dairy cow's revenue comes from (value share by stream)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Dairy!D64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Dairy!$A$65:$A$73</c:f>
              <c:strCache>
                <c:ptCount val="9"/>
                <c:pt idx="0">
                  <c:v>Fluid milk</c:v>
                </c:pt>
                <c:pt idx="1">
                  <c:v>Other dairy</c:v>
                </c:pt>
                <c:pt idx="2">
                  <c:v>Butter (fat)</c:v>
                </c:pt>
                <c:pt idx="3">
                  <c:v>Milk powder (nonfat solids)</c:v>
                </c:pt>
                <c:pt idx="4">
                  <c:v>Cheese</c:v>
                </c:pt>
                <c:pt idx="5">
                  <c:v>Whey protein</c:v>
                </c:pt>
                <c:pt idx="6">
                  <c:v>Whey carbohydrate</c:v>
                </c:pt>
                <c:pt idx="7">
                  <c:v>Cull cows</c:v>
                </c:pt>
                <c:pt idx="8">
                  <c:v>Calves</c:v>
                </c:pt>
              </c:strCache>
            </c:strRef>
          </c:cat>
          <c:val>
            <c:numRef>
              <c:f>Dairy!$D$65:$D$73</c:f>
              <c:numCache>
                <c:formatCode>0.0%</c:formatCode>
                <c:ptCount val="9"/>
                <c:pt idx="0">
                  <c:v>0.174381614876647</c:v>
                </c:pt>
                <c:pt idx="1">
                  <c:v>0.0684459505314227</c:v>
                </c:pt>
                <c:pt idx="2">
                  <c:v>0.0326513920734313</c:v>
                </c:pt>
                <c:pt idx="3">
                  <c:v>0.0870179811944771</c:v>
                </c:pt>
                <c:pt idx="4">
                  <c:v>0.403718716773442</c:v>
                </c:pt>
                <c:pt idx="5">
                  <c:v>0.126075690840373</c:v>
                </c:pt>
                <c:pt idx="6">
                  <c:v>0.0297086537102071</c:v>
                </c:pt>
                <c:pt idx="7">
                  <c:v>0.0468</c:v>
                </c:pt>
                <c:pt idx="8">
                  <c:v>0.0312</c:v>
                </c:pt>
              </c:numCache>
            </c:numRef>
          </c:val>
        </c:ser>
        <c:gapWidth val="150"/>
        <c:overlap val="0"/>
        <c:axId val="55168444"/>
        <c:axId val="88138222"/>
      </c:barChart>
      <c:catAx>
        <c:axId val="551684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38222"/>
        <c:crosses val="autoZero"/>
        <c:auto val="1"/>
        <c:lblAlgn val="ctr"/>
        <c:lblOffset val="100"/>
        <c:noMultiLvlLbl val="0"/>
      </c:catAx>
      <c:valAx>
        <c:axId val="88138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684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Fed steer: value share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Beef!D53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Beef!$A$54:$A$57</c:f>
              <c:strCache>
                <c:ptCount val="4"/>
                <c:pt idx="0">
                  <c:v>Middle meats (whole cut)</c:v>
                </c:pt>
                <c:pt idx="1">
                  <c:v>End meats (whole cut)</c:v>
                </c:pt>
                <c:pt idx="2">
                  <c:v>Minced beef (grinding material)</c:v>
                </c:pt>
                <c:pt idx="3">
                  <c:v>Drop credit</c:v>
                </c:pt>
              </c:strCache>
            </c:strRef>
          </c:cat>
          <c:val>
            <c:numRef>
              <c:f>Beef!$D$54:$D$57</c:f>
              <c:numCache>
                <c:formatCode>0.0%</c:formatCode>
                <c:ptCount val="4"/>
                <c:pt idx="0">
                  <c:v>0.434079965079031</c:v>
                </c:pt>
                <c:pt idx="1">
                  <c:v>0.259667435166567</c:v>
                </c:pt>
                <c:pt idx="2">
                  <c:v>0.245947682564575</c:v>
                </c:pt>
                <c:pt idx="3">
                  <c:v>0.0603049171898279</c:v>
                </c:pt>
              </c:numCache>
            </c:numRef>
          </c:val>
        </c:ser>
        <c:gapWidth val="150"/>
        <c:overlap val="0"/>
        <c:axId val="6479494"/>
        <c:axId val="34699231"/>
      </c:barChart>
      <c:catAx>
        <c:axId val="64794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99231"/>
        <c:crosses val="autoZero"/>
        <c:auto val="1"/>
        <c:lblAlgn val="ctr"/>
        <c:lblOffset val="100"/>
        <c:noMultiLvlLbl val="0"/>
      </c:catAx>
      <c:valAx>
        <c:axId val="34699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94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Layer hen: value share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Eggs!D35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Eggs!$A$36:$A$40</c:f>
              <c:strCache>
                <c:ptCount val="5"/>
                <c:pt idx="0">
                  <c:v>Shell eggs</c:v>
                </c:pt>
                <c:pt idx="1">
                  <c:v>Whole egg products</c:v>
                </c:pt>
                <c:pt idx="2">
                  <c:v>Egg white</c:v>
                </c:pt>
                <c:pt idx="3">
                  <c:v>Egg yolk</c:v>
                </c:pt>
                <c:pt idx="4">
                  <c:v>Spent hen</c:v>
                </c:pt>
              </c:strCache>
            </c:strRef>
          </c:cat>
          <c:val>
            <c:numRef>
              <c:f>Eggs!$D$36:$D$40</c:f>
              <c:numCache>
                <c:formatCode>0.0%</c:formatCode>
                <c:ptCount val="5"/>
                <c:pt idx="0">
                  <c:v>0.828132361352592</c:v>
                </c:pt>
                <c:pt idx="1">
                  <c:v>0.111763717937234</c:v>
                </c:pt>
                <c:pt idx="2">
                  <c:v>0.0285545454025032</c:v>
                </c:pt>
                <c:pt idx="3">
                  <c:v>0.0305238243957793</c:v>
                </c:pt>
                <c:pt idx="4">
                  <c:v>0.00102555091189175</c:v>
                </c:pt>
              </c:numCache>
            </c:numRef>
          </c:val>
        </c:ser>
        <c:gapWidth val="150"/>
        <c:overlap val="0"/>
        <c:axId val="18926541"/>
        <c:axId val="18546758"/>
      </c:barChart>
      <c:catAx>
        <c:axId val="18926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46758"/>
        <c:crosses val="autoZero"/>
        <c:auto val="1"/>
        <c:lblAlgn val="ctr"/>
        <c:lblOffset val="100"/>
        <c:noMultiLvlLbl val="0"/>
      </c:catAx>
      <c:valAx>
        <c:axId val="18546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26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Broiler: value share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Broiler!D44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Broiler!$A$45:$A$50</c:f>
              <c:strCache>
                <c:ptCount val="6"/>
                <c:pt idx="0">
                  <c:v>Breast meat</c:v>
                </c:pt>
                <c:pt idx="1">
                  <c:v>Wings</c:v>
                </c:pt>
                <c:pt idx="2">
                  <c:v>Dark meat</c:v>
                </c:pt>
                <c:pt idx="3">
                  <c:v>Backs &amp; necks (MSC)</c:v>
                </c:pt>
                <c:pt idx="4">
                  <c:v>Giblets &amp; paws</c:v>
                </c:pt>
                <c:pt idx="5">
                  <c:v>Rendering</c:v>
                </c:pt>
              </c:strCache>
            </c:strRef>
          </c:cat>
          <c:val>
            <c:numRef>
              <c:f>Broiler!$D$45:$D$50</c:f>
              <c:numCache>
                <c:formatCode>0.0%</c:formatCode>
                <c:ptCount val="6"/>
                <c:pt idx="0">
                  <c:v>0.547849009968618</c:v>
                </c:pt>
                <c:pt idx="1">
                  <c:v>0.199359674742809</c:v>
                </c:pt>
                <c:pt idx="2">
                  <c:v>0.16320180291218</c:v>
                </c:pt>
                <c:pt idx="3">
                  <c:v>0.0208708721554554</c:v>
                </c:pt>
                <c:pt idx="4">
                  <c:v>0.0538158025826618</c:v>
                </c:pt>
                <c:pt idx="5">
                  <c:v>0.0149028376382756</c:v>
                </c:pt>
              </c:numCache>
            </c:numRef>
          </c:val>
        </c:ser>
        <c:gapWidth val="150"/>
        <c:overlap val="0"/>
        <c:axId val="28384566"/>
        <c:axId val="30604318"/>
      </c:barChart>
      <c:catAx>
        <c:axId val="28384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04318"/>
        <c:crosses val="autoZero"/>
        <c:auto val="1"/>
        <c:lblAlgn val="ctr"/>
        <c:lblOffset val="100"/>
        <c:noMultiLvlLbl val="0"/>
      </c:catAx>
      <c:valAx>
        <c:axId val="30604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84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Hog: value share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Pork!D44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Pork!$A$45:$A$49</c:f>
              <c:strCache>
                <c:ptCount val="5"/>
                <c:pt idx="0">
                  <c:v>Fresh pork cuts</c:v>
                </c:pt>
                <c:pt idx="1">
                  <c:v>Ham</c:v>
                </c:pt>
                <c:pt idx="2">
                  <c:v>Belly</c:v>
                </c:pt>
                <c:pt idx="3">
                  <c:v>Sausage &amp; trim</c:v>
                </c:pt>
                <c:pt idx="4">
                  <c:v>Variety meats &amp; drop</c:v>
                </c:pt>
              </c:strCache>
            </c:strRef>
          </c:cat>
          <c:val>
            <c:numRef>
              <c:f>Pork!$D$45:$D$49</c:f>
              <c:numCache>
                <c:formatCode>0.0%</c:formatCode>
                <c:ptCount val="5"/>
                <c:pt idx="0">
                  <c:v>0.429877960035087</c:v>
                </c:pt>
                <c:pt idx="1">
                  <c:v>0.223445858850177</c:v>
                </c:pt>
                <c:pt idx="2">
                  <c:v>0.16478730945641</c:v>
                </c:pt>
                <c:pt idx="3">
                  <c:v>0.100139484875999</c:v>
                </c:pt>
                <c:pt idx="4">
                  <c:v>0.0817493867823276</c:v>
                </c:pt>
              </c:numCache>
            </c:numRef>
          </c:val>
        </c:ser>
        <c:gapWidth val="150"/>
        <c:overlap val="0"/>
        <c:axId val="4153319"/>
        <c:axId val="35413529"/>
      </c:barChart>
      <c:catAx>
        <c:axId val="4153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13529"/>
        <c:crosses val="autoZero"/>
        <c:auto val="1"/>
        <c:lblAlgn val="ctr"/>
        <c:lblOffset val="100"/>
        <c:noMultiLvlLbl val="0"/>
      </c:catAx>
      <c:valAx>
        <c:axId val="35413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3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Alaska pollock: value share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Pollock!D41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Pollock!$A$42:$A$44</c:f>
              <c:strCache>
                <c:ptCount val="3"/>
                <c:pt idx="0">
                  <c:v>Flesh (fillets, surimi, mince)</c:v>
                </c:pt>
                <c:pt idx="1">
                  <c:v>Roe</c:v>
                </c:pt>
                <c:pt idx="2">
                  <c:v>Meal &amp; oil</c:v>
                </c:pt>
              </c:strCache>
            </c:strRef>
          </c:cat>
          <c:val>
            <c:numRef>
              <c:f>Pollock!$D$42:$D$44</c:f>
              <c:numCache>
                <c:formatCode>0.0%</c:formatCode>
                <c:ptCount val="3"/>
                <c:pt idx="0">
                  <c:v>0.806443598327919</c:v>
                </c:pt>
                <c:pt idx="1">
                  <c:v>0.0775169723659447</c:v>
                </c:pt>
                <c:pt idx="2">
                  <c:v>0.116039429306136</c:v>
                </c:pt>
              </c:numCache>
            </c:numRef>
          </c:val>
        </c:ser>
        <c:gapWidth val="150"/>
        <c:overlap val="0"/>
        <c:axId val="40619991"/>
        <c:axId val="983548"/>
      </c:barChart>
      <c:catAx>
        <c:axId val="40619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548"/>
        <c:crosses val="autoZero"/>
        <c:auto val="1"/>
        <c:lblAlgn val="ctr"/>
        <c:lblOffset val="100"/>
        <c:noMultiLvlLbl val="0"/>
      </c:catAx>
      <c:valAx>
        <c:axId val="983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19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Farmed salmon: value share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Salmon!D24</c:f>
              <c:strCache>
                <c:ptCount val="1"/>
                <c:pt idx="0">
                  <c:v>Share of animal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Salmon!$A$25:$A$26</c:f>
              <c:strCache>
                <c:ptCount val="2"/>
                <c:pt idx="0">
                  <c:v>Salmon flesh</c:v>
                </c:pt>
                <c:pt idx="1">
                  <c:v>Salmon by-products</c:v>
                </c:pt>
              </c:strCache>
            </c:strRef>
          </c:cat>
          <c:val>
            <c:numRef>
              <c:f>Salmon!$D$25:$D$26</c:f>
              <c:numCache>
                <c:formatCode>0.0%</c:formatCode>
                <c:ptCount val="2"/>
                <c:pt idx="0">
                  <c:v>0.97012029491657</c:v>
                </c:pt>
                <c:pt idx="1">
                  <c:v>0.0298797050834303</c:v>
                </c:pt>
              </c:numCache>
            </c:numRef>
          </c:val>
        </c:ser>
        <c:gapWidth val="150"/>
        <c:overlap val="0"/>
        <c:axId val="48511388"/>
        <c:axId val="40326195"/>
      </c:barChart>
      <c:catAx>
        <c:axId val="485113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26195"/>
        <c:crosses val="autoZero"/>
        <c:auto val="1"/>
        <c:lblAlgn val="ctr"/>
        <c:lblOffset val="100"/>
        <c:noMultiLvlLbl val="0"/>
      </c:catAx>
      <c:valAx>
        <c:axId val="40326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animal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113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47</xdr:row>
      <xdr:rowOff>734040</xdr:rowOff>
    </xdr:from>
    <xdr:to>
      <xdr:col>34</xdr:col>
      <xdr:colOff>364320</xdr:colOff>
      <xdr:row>62</xdr:row>
      <xdr:rowOff>32400</xdr:rowOff>
    </xdr:to>
    <xdr:graphicFrame>
      <xdr:nvGraphicFramePr>
        <xdr:cNvPr id="0" name="Chart 1"/>
        <xdr:cNvGraphicFramePr/>
      </xdr:nvGraphicFramePr>
      <xdr:xfrm>
        <a:off x="25704000" y="9867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40</xdr:row>
      <xdr:rowOff>734040</xdr:rowOff>
    </xdr:from>
    <xdr:to>
      <xdr:col>34</xdr:col>
      <xdr:colOff>364320</xdr:colOff>
      <xdr:row>52</xdr:row>
      <xdr:rowOff>491400</xdr:rowOff>
    </xdr:to>
    <xdr:graphicFrame>
      <xdr:nvGraphicFramePr>
        <xdr:cNvPr id="1" name="Chart 1"/>
        <xdr:cNvGraphicFramePr/>
      </xdr:nvGraphicFramePr>
      <xdr:xfrm>
        <a:off x="25704000" y="85345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25</xdr:row>
      <xdr:rowOff>734040</xdr:rowOff>
    </xdr:from>
    <xdr:to>
      <xdr:col>34</xdr:col>
      <xdr:colOff>364320</xdr:colOff>
      <xdr:row>35</xdr:row>
      <xdr:rowOff>148320</xdr:rowOff>
    </xdr:to>
    <xdr:graphicFrame>
      <xdr:nvGraphicFramePr>
        <xdr:cNvPr id="2" name="Chart 1"/>
        <xdr:cNvGraphicFramePr/>
      </xdr:nvGraphicFramePr>
      <xdr:xfrm>
        <a:off x="25704000" y="56768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31</xdr:row>
      <xdr:rowOff>734040</xdr:rowOff>
    </xdr:from>
    <xdr:to>
      <xdr:col>34</xdr:col>
      <xdr:colOff>364320</xdr:colOff>
      <xdr:row>43</xdr:row>
      <xdr:rowOff>379080</xdr:rowOff>
    </xdr:to>
    <xdr:graphicFrame>
      <xdr:nvGraphicFramePr>
        <xdr:cNvPr id="3" name="Chart 1"/>
        <xdr:cNvGraphicFramePr/>
      </xdr:nvGraphicFramePr>
      <xdr:xfrm>
        <a:off x="25704000" y="68198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31</xdr:row>
      <xdr:rowOff>734040</xdr:rowOff>
    </xdr:from>
    <xdr:to>
      <xdr:col>34</xdr:col>
      <xdr:colOff>364320</xdr:colOff>
      <xdr:row>43</xdr:row>
      <xdr:rowOff>603720</xdr:rowOff>
    </xdr:to>
    <xdr:graphicFrame>
      <xdr:nvGraphicFramePr>
        <xdr:cNvPr id="4" name="Chart 1"/>
        <xdr:cNvGraphicFramePr/>
      </xdr:nvGraphicFramePr>
      <xdr:xfrm>
        <a:off x="25704000" y="68198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29</xdr:row>
      <xdr:rowOff>734040</xdr:rowOff>
    </xdr:from>
    <xdr:to>
      <xdr:col>34</xdr:col>
      <xdr:colOff>364320</xdr:colOff>
      <xdr:row>40</xdr:row>
      <xdr:rowOff>794520</xdr:rowOff>
    </xdr:to>
    <xdr:graphicFrame>
      <xdr:nvGraphicFramePr>
        <xdr:cNvPr id="5" name="Chart 1"/>
        <xdr:cNvGraphicFramePr/>
      </xdr:nvGraphicFramePr>
      <xdr:xfrm>
        <a:off x="25704000" y="6438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0</xdr:colOff>
      <xdr:row>17</xdr:row>
      <xdr:rowOff>734040</xdr:rowOff>
    </xdr:from>
    <xdr:to>
      <xdr:col>34</xdr:col>
      <xdr:colOff>364320</xdr:colOff>
      <xdr:row>25</xdr:row>
      <xdr:rowOff>275040</xdr:rowOff>
    </xdr:to>
    <xdr:graphicFrame>
      <xdr:nvGraphicFramePr>
        <xdr:cNvPr id="6" name="Chart 1"/>
        <xdr:cNvGraphicFramePr/>
      </xdr:nvGraphicFramePr>
      <xdr:xfrm>
        <a:off x="25704000" y="4152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46.2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35.0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35.05" hidden="false" customHeight="false" outlineLevel="0" collapsed="false">
      <c r="A19" s="2" t="s">
        <v>15</v>
      </c>
    </row>
    <row r="20" customFormat="false" ht="23.85" hidden="false" customHeight="false" outlineLevel="0" collapsed="false">
      <c r="A20" s="2" t="s">
        <v>16</v>
      </c>
    </row>
    <row r="21" customFormat="false" ht="35.05" hidden="false" customHeight="false" outlineLevel="0" collapsed="false">
      <c r="A21" s="2" t="s">
        <v>17</v>
      </c>
    </row>
    <row r="22" customFormat="false" ht="23.85" hidden="false" customHeight="false" outlineLevel="0" collapsed="false">
      <c r="A22" s="2" t="s">
        <v>18</v>
      </c>
    </row>
    <row r="23" customFormat="false" ht="23.8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23.85" hidden="false" customHeight="false" outlineLevel="0" collapsed="false">
      <c r="A26" s="2" t="s">
        <v>21</v>
      </c>
    </row>
    <row r="27" customFormat="false" ht="23.8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O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9" min="5" style="0" width="12"/>
    <col collapsed="false" customWidth="true" hidden="false" outlineLevel="0" max="11" min="10" style="0" width="14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4" customFormat="false" ht="60" hidden="false" customHeight="tru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6" t="s">
        <v>37</v>
      </c>
      <c r="N4" s="6" t="s">
        <v>38</v>
      </c>
      <c r="O4" s="6" t="s">
        <v>39</v>
      </c>
    </row>
    <row r="5" customFormat="false" ht="23.85" hidden="false" customHeight="false" outlineLevel="0" collapsed="false">
      <c r="A5" s="5" t="s">
        <v>40</v>
      </c>
      <c r="B5" s="7" t="str">
        <f aca="false">Dairy!A49</f>
        <v>Fluid milk (Class I)</v>
      </c>
      <c r="C5" s="8" t="n">
        <f aca="false">Dairy!I49</f>
        <v>0.174381614876647</v>
      </c>
      <c r="D5" s="9" t="n">
        <f aca="false">INDEX(Dairy!$F$65:$F$73,MATCH(Dairy!B49,Dairy!$A$65:$A$73,0))</f>
        <v>-0.4</v>
      </c>
      <c r="E5" s="10" t="n">
        <f aca="false">Dairy!L49</f>
        <v>0.0269358924152557</v>
      </c>
      <c r="F5" s="10" t="n">
        <f aca="false">Dairy!M49</f>
        <v>0.10128844034112</v>
      </c>
      <c r="G5" s="10" t="n">
        <f aca="false">Dairy!N49</f>
        <v>0.176052635062749</v>
      </c>
      <c r="H5" s="11" t="n">
        <f aca="false">1-F5</f>
        <v>0.89871155965888</v>
      </c>
      <c r="I5" s="8" t="n">
        <f aca="false">Dairy!Q49</f>
        <v>-0.013420291122324</v>
      </c>
      <c r="J5" s="8" t="n">
        <f aca="false">Dairy!T49</f>
        <v>-0.10128844034112</v>
      </c>
      <c r="K5" s="8" t="n">
        <f aca="false">INDEX(Dairy!$G$65:$G$73,MATCH(Dairy!B49,Dairy!$A$65:$A$73,0))</f>
        <v>0</v>
      </c>
      <c r="L5" s="12" t="s">
        <v>41</v>
      </c>
      <c r="M5" s="13" t="s">
        <v>42</v>
      </c>
      <c r="N5" s="9" t="n">
        <f aca="false">Dairy!U49</f>
        <v>53.3097054426947</v>
      </c>
      <c r="O5" s="2" t="str">
        <f aca="false">IF(F5&gt;=0.2,"primary product: displacement is a fifth or more of the replaced volume",IF(F5&gt;=0.05,"co-product: a twentieth to a fifth","by-product or quota-limited: under a twentieth; price falls toward the floor instead"))</f>
        <v>co-product: a twentieth to a fifth</v>
      </c>
    </row>
    <row r="6" customFormat="false" ht="23.85" hidden="false" customHeight="false" outlineLevel="0" collapsed="false">
      <c r="A6" s="5" t="s">
        <v>40</v>
      </c>
      <c r="B6" s="7" t="str">
        <f aca="false">Dairy!A50</f>
        <v>Other dairy: yogurt, ice cream, etc. (Class II)</v>
      </c>
      <c r="C6" s="8" t="n">
        <f aca="false">Dairy!I50</f>
        <v>0.0684459505314227</v>
      </c>
      <c r="D6" s="9" t="n">
        <f aca="false">INDEX(Dairy!$F$65:$F$73,MATCH(Dairy!B50,Dairy!$A$65:$A$73,0))</f>
        <v>-0.9</v>
      </c>
      <c r="E6" s="10" t="n">
        <f aca="false">Dairy!L50</f>
        <v>0.0113414283853708</v>
      </c>
      <c r="F6" s="10" t="n">
        <f aca="false">Dairy!M50</f>
        <v>0.0426477643541558</v>
      </c>
      <c r="G6" s="10" t="n">
        <f aca="false">Dairy!N50</f>
        <v>0.0741274252895787</v>
      </c>
      <c r="H6" s="11" t="n">
        <f aca="false">1-F6</f>
        <v>0.957352235645844</v>
      </c>
      <c r="I6" s="8" t="n">
        <f aca="false">Dairy!Q50</f>
        <v>-0.00565064889361009</v>
      </c>
      <c r="J6" s="8" t="n">
        <f aca="false">Dairy!T50</f>
        <v>-0.0426477643541558</v>
      </c>
      <c r="K6" s="8" t="n">
        <f aca="false">INDEX(Dairy!$G$65:$G$73,MATCH(Dairy!B50,Dairy!$A$65:$A$73,0))</f>
        <v>0</v>
      </c>
      <c r="L6" s="12" t="s">
        <v>43</v>
      </c>
      <c r="M6" s="13" t="s">
        <v>42</v>
      </c>
      <c r="N6" s="9" t="n">
        <f aca="false">Dairy!U50</f>
        <v>53.3097054426947</v>
      </c>
      <c r="O6" s="2" t="str">
        <f aca="false">IF(F6&gt;=0.2,"primary product: displacement is a fifth or more of the replaced volume",IF(F6&gt;=0.05,"co-product: a twentieth to a fifth","by-product or quota-limited: under a twentieth; price falls toward the floor instead"))</f>
        <v>by-product or quota-limited: under a twentieth; price falls toward the floor instead</v>
      </c>
    </row>
    <row r="7" customFormat="false" ht="23.85" hidden="false" customHeight="false" outlineLevel="0" collapsed="false">
      <c r="A7" s="5" t="s">
        <v>40</v>
      </c>
      <c r="B7" s="7" t="str">
        <f aca="false">Dairy!A51</f>
        <v>Butter / cream (3.5 lb fat per cwt)</v>
      </c>
      <c r="C7" s="8" t="n">
        <f aca="false">Dairy!I51</f>
        <v>0.0326513920734313</v>
      </c>
      <c r="D7" s="9" t="n">
        <f aca="false">INDEX(Dairy!$F$65:$F$73,MATCH(Dairy!B51,Dairy!$A$65:$A$73,0))</f>
        <v>-0.6</v>
      </c>
      <c r="E7" s="10" t="n">
        <f aca="false">Dairy!L51</f>
        <v>0.00709101875338255</v>
      </c>
      <c r="F7" s="10" t="n">
        <f aca="false">Dairy!M51</f>
        <v>0.0266647274531347</v>
      </c>
      <c r="G7" s="10" t="n">
        <f aca="false">Dairy!N51</f>
        <v>0.0463468043889764</v>
      </c>
      <c r="H7" s="11" t="n">
        <f aca="false">1-F7</f>
        <v>0.973335272546865</v>
      </c>
      <c r="I7" s="8" t="n">
        <f aca="false">Dairy!Q51</f>
        <v>-0.107522404119661</v>
      </c>
      <c r="J7" s="8" t="n">
        <f aca="false">Dairy!T51</f>
        <v>-0.0266647274531347</v>
      </c>
      <c r="K7" s="8" t="n">
        <f aca="false">INDEX(Dairy!$G$65:$G$73,MATCH(Dairy!B51,Dairy!$A$65:$A$73,0))</f>
        <v>0</v>
      </c>
      <c r="L7" s="12" t="s">
        <v>44</v>
      </c>
      <c r="M7" s="13" t="s">
        <v>45</v>
      </c>
      <c r="N7" s="9" t="n">
        <f aca="false">Dairy!U51</f>
        <v>20.5113288101036</v>
      </c>
      <c r="O7" s="2" t="str">
        <f aca="false">IF(F7&gt;=0.2,"primary product: displacement is a fifth or more of the replaced volume",IF(F7&gt;=0.05,"co-product: a twentieth to a fifth","by-product or quota-limited: under a twentieth; price falls toward the floor instead"))</f>
        <v>by-product or quota-limited: under a twentieth; price falls toward the floor instead</v>
      </c>
    </row>
    <row r="8" customFormat="false" ht="23.85" hidden="false" customHeight="false" outlineLevel="0" collapsed="false">
      <c r="A8" s="5" t="s">
        <v>40</v>
      </c>
      <c r="B8" s="7" t="str">
        <f aca="false">Dairy!A52</f>
        <v>Nonfat dry milk / SMP (also the casein route)</v>
      </c>
      <c r="C8" s="8" t="n">
        <f aca="false">Dairy!I52</f>
        <v>0.0870179811944771</v>
      </c>
      <c r="D8" s="9" t="n">
        <f aca="false">INDEX(Dairy!$F$65:$F$73,MATCH(Dairy!B52,Dairy!$A$65:$A$73,0))</f>
        <v>-1</v>
      </c>
      <c r="E8" s="10" t="n">
        <f aca="false">Dairy!L52</f>
        <v>0.011338802372845</v>
      </c>
      <c r="F8" s="10" t="n">
        <f aca="false">Dairy!M52</f>
        <v>0.0426378896223684</v>
      </c>
      <c r="G8" s="10" t="n">
        <f aca="false">Dairy!N52</f>
        <v>0.0741102617065889</v>
      </c>
      <c r="H8" s="11" t="n">
        <f aca="false">1-F8</f>
        <v>0.957362110377632</v>
      </c>
      <c r="I8" s="8" t="n">
        <f aca="false">Dairy!Q52</f>
        <v>-0.0432556764127927</v>
      </c>
      <c r="J8" s="8" t="n">
        <f aca="false">Dairy!T52</f>
        <v>-0.0295485442031482</v>
      </c>
      <c r="K8" s="8" t="n">
        <f aca="false">INDEX(Dairy!$G$65:$G$73,MATCH(Dairy!B52,Dairy!$A$65:$A$73,0))</f>
        <v>0.6</v>
      </c>
      <c r="L8" s="12" t="s">
        <v>46</v>
      </c>
      <c r="M8" s="13" t="s">
        <v>42</v>
      </c>
      <c r="N8" s="9" t="n">
        <f aca="false">Dairy!U52</f>
        <v>32.7983766325911</v>
      </c>
      <c r="O8" s="2" t="str">
        <f aca="false">IF(F8&gt;=0.2,"primary product: displacement is a fifth or more of the replaced volume",IF(F8&gt;=0.05,"co-product: a twentieth to a fifth","by-product or quota-limited: under a twentieth; price falls toward the floor instead"))</f>
        <v>by-product or quota-limited: under a twentieth; price falls toward the floor instead</v>
      </c>
    </row>
    <row r="9" customFormat="false" ht="23.85" hidden="false" customHeight="false" outlineLevel="0" collapsed="false">
      <c r="A9" s="5" t="s">
        <v>40</v>
      </c>
      <c r="B9" s="7" t="str">
        <f aca="false">Dairy!A53</f>
        <v>Cheese (cheddar-equivalent)</v>
      </c>
      <c r="C9" s="8" t="n">
        <f aca="false">Dairy!I53</f>
        <v>0.403718716773442</v>
      </c>
      <c r="D9" s="9" t="n">
        <f aca="false">INDEX(Dairy!$F$65:$F$73,MATCH(Dairy!B53,Dairy!$A$65:$A$73,0))</f>
        <v>-0.55</v>
      </c>
      <c r="E9" s="10" t="n">
        <f aca="false">Dairy!L53</f>
        <v>0.0749604371618722</v>
      </c>
      <c r="F9" s="10" t="n">
        <f aca="false">Dairy!M53</f>
        <v>0.28187763933577</v>
      </c>
      <c r="G9" s="10" t="n">
        <f aca="false">Dairy!N53</f>
        <v>0.489940421663135</v>
      </c>
      <c r="H9" s="11" t="n">
        <f aca="false">1-F9</f>
        <v>0.71812236066423</v>
      </c>
      <c r="I9" s="8" t="n">
        <f aca="false">Dairy!Q53</f>
        <v>-0.0672025225141256</v>
      </c>
      <c r="J9" s="8" t="n">
        <f aca="false">Dairy!T53</f>
        <v>-0.28187763933577</v>
      </c>
      <c r="K9" s="8" t="n">
        <f aca="false">INDEX(Dairy!$G$65:$G$73,MATCH(Dairy!B53,Dairy!$A$65:$A$73,0))</f>
        <v>0</v>
      </c>
      <c r="L9" s="12" t="s">
        <v>47</v>
      </c>
      <c r="M9" s="13" t="s">
        <v>48</v>
      </c>
      <c r="N9" s="9" t="n">
        <f aca="false">Dairy!U53</f>
        <v>4.43203835433601</v>
      </c>
      <c r="O9" s="2" t="str">
        <f aca="false">IF(F9&gt;=0.2,"primary product: displacement is a fifth or more of the replaced volume",IF(F9&gt;=0.05,"co-product: a twentieth to a fifth","by-product or quota-limited: under a twentieth; price falls toward the floor instead"))</f>
        <v>primary product: displacement is a fifth or more of the replaced volume</v>
      </c>
    </row>
    <row r="10" customFormat="false" ht="23.85" hidden="false" customHeight="false" outlineLevel="0" collapsed="false">
      <c r="A10" s="5" t="s">
        <v>40</v>
      </c>
      <c r="B10" s="7" t="str">
        <f aca="false">Dairy!A54</f>
        <v>WPC 80 (whey protein concentrate)</v>
      </c>
      <c r="C10" s="8" t="n">
        <f aca="false">Dairy!I54</f>
        <v>0.0693890268384608</v>
      </c>
      <c r="D10" s="9" t="n">
        <f aca="false">INDEX(Dairy!$F$65:$F$73,MATCH(Dairy!B54,Dairy!$A$65:$A$73,0))</f>
        <v>-1.5</v>
      </c>
      <c r="E10" s="10" t="n">
        <f aca="false">Dairy!L54</f>
        <v>0.00472406052938711</v>
      </c>
      <c r="F10" s="10" t="n">
        <f aca="false">Dairy!M54</f>
        <v>0.0177641310605941</v>
      </c>
      <c r="G10" s="10" t="n">
        <f aca="false">Dairy!N54</f>
        <v>0.030876396874955</v>
      </c>
      <c r="H10" s="11" t="n">
        <f aca="false">1-F10</f>
        <v>0.982235868939406</v>
      </c>
      <c r="I10" s="8" t="n">
        <f aca="false">Dairy!Q54</f>
        <v>-0.0340432369276969</v>
      </c>
      <c r="J10" s="8" t="n">
        <f aca="false">Dairy!T54</f>
        <v>-0.0177641310605941</v>
      </c>
      <c r="K10" s="8" t="n">
        <f aca="false">INDEX(Dairy!$G$65:$G$73,MATCH(Dairy!B54,Dairy!$A$65:$A$73,0))</f>
        <v>0.06</v>
      </c>
      <c r="L10" s="12" t="s">
        <v>49</v>
      </c>
      <c r="M10" s="13" t="s">
        <v>45</v>
      </c>
      <c r="N10" s="9" t="n">
        <f aca="false">Dairy!U54</f>
        <v>9.95607737738216</v>
      </c>
      <c r="O10" s="2" t="str">
        <f aca="false">IF(F10&gt;=0.2,"primary product: displacement is a fifth or more of the replaced volume",IF(F10&gt;=0.05,"co-product: a twentieth to a fifth","by-product or quota-limited: under a twentieth; price falls toward the floor instead"))</f>
        <v>by-product or quota-limited: under a twentieth; price falls toward the floor instead</v>
      </c>
    </row>
    <row r="11" customFormat="false" ht="23.85" hidden="false" customHeight="false" outlineLevel="0" collapsed="false">
      <c r="A11" s="5" t="s">
        <v>40</v>
      </c>
      <c r="B11" s="7" t="str">
        <f aca="false">Dairy!A55</f>
        <v>WPI (whey protein isolate)</v>
      </c>
      <c r="C11" s="8" t="n">
        <f aca="false">Dairy!I55</f>
        <v>0.0566866640019119</v>
      </c>
      <c r="D11" s="9" t="n">
        <f aca="false">INDEX(Dairy!$F$65:$F$73,MATCH(Dairy!B55,Dairy!$A$65:$A$73,0))</f>
        <v>-1.5</v>
      </c>
      <c r="E11" s="10" t="n">
        <f aca="false">Dairy!L55</f>
        <v>0.00385927349258674</v>
      </c>
      <c r="F11" s="10" t="n">
        <f aca="false">Dairy!M55</f>
        <v>0.0145122272872067</v>
      </c>
      <c r="G11" s="10" t="n">
        <f aca="false">Dairy!N55</f>
        <v>0.0252241602885562</v>
      </c>
      <c r="H11" s="11" t="n">
        <f aca="false">1-F11</f>
        <v>0.985487772712793</v>
      </c>
      <c r="I11" s="8" t="n">
        <f aca="false">Dairy!Q55</f>
        <v>-0.0278112782551404</v>
      </c>
      <c r="J11" s="8" t="n">
        <f aca="false">Dairy!T55</f>
        <v>-0.0145122272872067</v>
      </c>
      <c r="K11" s="8" t="n">
        <f aca="false">INDEX(Dairy!$G$65:$G$73,MATCH(Dairy!B55,Dairy!$A$65:$A$73,0))</f>
        <v>0.06</v>
      </c>
      <c r="L11" s="12" t="s">
        <v>49</v>
      </c>
      <c r="M11" s="13" t="s">
        <v>45</v>
      </c>
      <c r="N11" s="9" t="n">
        <f aca="false">Dairy!U55</f>
        <v>14.3118612299869</v>
      </c>
      <c r="O11" s="2" t="str">
        <f aca="false">IF(F11&gt;=0.2,"primary product: displacement is a fifth or more of the replaced volume",IF(F11&gt;=0.05,"co-product: a twentieth to a fifth","by-product or quota-limited: under a twentieth; price falls toward the floor instead"))</f>
        <v>by-product or quota-limited: under a twentieth; price falls toward the floor instead</v>
      </c>
    </row>
    <row r="12" customFormat="false" ht="23.85" hidden="false" customHeight="false" outlineLevel="0" collapsed="false">
      <c r="A12" s="5" t="s">
        <v>40</v>
      </c>
      <c r="B12" s="7" t="str">
        <f aca="false">Dairy!A56</f>
        <v>Dry whey (sweet whey powder)</v>
      </c>
      <c r="C12" s="8" t="n">
        <f aca="false">Dairy!I56</f>
        <v>0.00704565503282833</v>
      </c>
      <c r="D12" s="9" t="n">
        <f aca="false">INDEX(Dairy!$F$65:$F$73,MATCH(Dairy!B56,Dairy!$A$65:$A$73,0))</f>
        <v>-2</v>
      </c>
      <c r="E12" s="10" t="n">
        <f aca="false">Dairy!L56</f>
        <v>0.000359755378776403</v>
      </c>
      <c r="F12" s="10" t="n">
        <f aca="false">Dairy!M56</f>
        <v>0.00135280690384524</v>
      </c>
      <c r="G12" s="10" t="n">
        <f aca="false">Dairy!N56</f>
        <v>0.00235135637740042</v>
      </c>
      <c r="H12" s="11" t="n">
        <f aca="false">1-F12</f>
        <v>0.998647193096155</v>
      </c>
      <c r="I12" s="8" t="n">
        <f aca="false">Dairy!Q56</f>
        <v>-0.0117066473975517</v>
      </c>
      <c r="J12" s="8" t="n">
        <f aca="false">Dairy!T56</f>
        <v>-0.00135280690384524</v>
      </c>
      <c r="K12" s="8" t="n">
        <f aca="false">INDEX(Dairy!$G$65:$G$73,MATCH(Dairy!B56,Dairy!$A$65:$A$73,0))</f>
        <v>0.5</v>
      </c>
      <c r="L12" s="12" t="s">
        <v>50</v>
      </c>
      <c r="M12" s="13" t="s">
        <v>51</v>
      </c>
      <c r="N12" s="9" t="n">
        <f aca="false">Dairy!U56</f>
        <v>0.375779695512568</v>
      </c>
      <c r="O12" s="2" t="str">
        <f aca="false">IF(F12&gt;=0.2,"primary product: displacement is a fifth or more of the replaced volume",IF(F12&gt;=0.05,"co-product: a twentieth to a fifth","by-product or quota-limited: under a twentieth; price falls toward the floor instead"))</f>
        <v>by-product or quota-limited: under a twentieth; price falls toward the floor instead</v>
      </c>
    </row>
    <row r="13" customFormat="false" ht="23.85" hidden="false" customHeight="false" outlineLevel="0" collapsed="false">
      <c r="A13" s="5" t="s">
        <v>40</v>
      </c>
      <c r="B13" s="7" t="str">
        <f aca="false">Dairy!A57</f>
        <v>Lactose</v>
      </c>
      <c r="C13" s="8" t="n">
        <f aca="false">Dairy!I57</f>
        <v>0.0112877483759917</v>
      </c>
      <c r="D13" s="9" t="n">
        <f aca="false">INDEX(Dairy!$F$65:$F$73,MATCH(Dairy!B57,Dairy!$A$65:$A$73,0))</f>
        <v>-2</v>
      </c>
      <c r="E13" s="10" t="n">
        <f aca="false">Dairy!L57</f>
        <v>0.000576359213389915</v>
      </c>
      <c r="F13" s="10" t="n">
        <f aca="false">Dairy!M57</f>
        <v>0.00216731359408888</v>
      </c>
      <c r="G13" s="10" t="n">
        <f aca="false">Dairy!N57</f>
        <v>0.00376707616349546</v>
      </c>
      <c r="H13" s="11" t="n">
        <f aca="false">1-F13</f>
        <v>0.997832686405911</v>
      </c>
      <c r="I13" s="8" t="n">
        <f aca="false">Dairy!Q57</f>
        <v>-0.0187550610318451</v>
      </c>
      <c r="J13" s="8" t="n">
        <f aca="false">Dairy!T57</f>
        <v>-0.00216731359408888</v>
      </c>
      <c r="K13" s="8" t="n">
        <f aca="false">INDEX(Dairy!$G$65:$G$73,MATCH(Dairy!B57,Dairy!$A$65:$A$73,0))</f>
        <v>0.5</v>
      </c>
      <c r="L13" s="12" t="s">
        <v>52</v>
      </c>
      <c r="M13" s="13" t="s">
        <v>51</v>
      </c>
      <c r="N13" s="9" t="n">
        <f aca="false">Dairy!U57</f>
        <v>0.401354369275718</v>
      </c>
      <c r="O13" s="2" t="str">
        <f aca="false">IF(F13&gt;=0.2,"primary product: displacement is a fifth or more of the replaced volume",IF(F13&gt;=0.05,"co-product: a twentieth to a fifth","by-product or quota-limited: under a twentieth; price falls toward the floor instead"))</f>
        <v>by-product or quota-limited: under a twentieth; price falls toward the floor instead</v>
      </c>
    </row>
    <row r="14" customFormat="false" ht="23.85" hidden="false" customHeight="false" outlineLevel="0" collapsed="false">
      <c r="A14" s="5" t="s">
        <v>40</v>
      </c>
      <c r="B14" s="7" t="str">
        <f aca="false">Dairy!A58</f>
        <v>Permeate / condensed whey / feed</v>
      </c>
      <c r="C14" s="8" t="n">
        <f aca="false">Dairy!I58</f>
        <v>0.011375250301387</v>
      </c>
      <c r="D14" s="9" t="n">
        <f aca="false">INDEX(Dairy!$F$65:$F$73,MATCH(Dairy!B58,Dairy!$A$65:$A$73,0))</f>
        <v>-2</v>
      </c>
      <c r="E14" s="10" t="n">
        <f aca="false">Dairy!L58</f>
        <v>0.000580827114268907</v>
      </c>
      <c r="F14" s="10" t="n">
        <f aca="false">Dairy!M58</f>
        <v>0.00218411447466321</v>
      </c>
      <c r="G14" s="10" t="n">
        <f aca="false">Dairy!N58</f>
        <v>0.00379627830429775</v>
      </c>
      <c r="H14" s="11" t="n">
        <f aca="false">1-F14</f>
        <v>0.997815885525337</v>
      </c>
      <c r="I14" s="8" t="n">
        <f aca="false">Dairy!Q58</f>
        <v>-0.0189004491018594</v>
      </c>
      <c r="J14" s="8" t="n">
        <f aca="false">Dairy!T58</f>
        <v>-0.00218411447466321</v>
      </c>
      <c r="K14" s="8" t="n">
        <f aca="false">INDEX(Dairy!$G$65:$G$73,MATCH(Dairy!B58,Dairy!$A$65:$A$73,0))</f>
        <v>0.5</v>
      </c>
      <c r="L14" s="12" t="s">
        <v>53</v>
      </c>
      <c r="M14" s="13" t="s">
        <v>51</v>
      </c>
      <c r="N14" s="9" t="n">
        <f aca="false">Dairy!U58</f>
        <v>0.24267938607369</v>
      </c>
      <c r="O14" s="2" t="str">
        <f aca="false">IF(F14&gt;=0.2,"primary product: displacement is a fifth or more of the replaced volume",IF(F14&gt;=0.05,"co-product: a twentieth to a fifth","by-product or quota-limited: under a twentieth; price falls toward the floor instead"))</f>
        <v>by-product or quota-limited: under a twentieth; price falls toward the floor instead</v>
      </c>
    </row>
    <row r="15" customFormat="false" ht="23.85" hidden="false" customHeight="false" outlineLevel="0" collapsed="false">
      <c r="A15" s="5" t="s">
        <v>40</v>
      </c>
      <c r="B15" s="7" t="str">
        <f aca="false">Dairy!A59</f>
        <v>Cull cows (manufacturing beef)</v>
      </c>
      <c r="C15" s="8" t="n">
        <f aca="false">Dairy!I59</f>
        <v>0.0468</v>
      </c>
      <c r="D15" s="9" t="n">
        <f aca="false">INDEX(Dairy!$F$65:$F$73,MATCH(Dairy!B59,Dairy!$A$65:$A$73,0))</f>
        <v>-0.8</v>
      </c>
      <c r="E15" s="10" t="n">
        <f aca="false">Dairy!L59</f>
        <v>0.0059459464097899</v>
      </c>
      <c r="F15" s="10" t="n">
        <f aca="false">Dairy!M59</f>
        <v>0.0223588522301344</v>
      </c>
      <c r="G15" s="10" t="n">
        <f aca="false">Dairy!N59</f>
        <v>0.0388626267601413</v>
      </c>
      <c r="H15" s="11" t="n">
        <f aca="false">1-F15</f>
        <v>0.977641147769866</v>
      </c>
      <c r="I15" s="8" t="n">
        <f aca="false">Dairy!Q59</f>
        <v>-0.122205143471233</v>
      </c>
      <c r="J15" s="8" t="n">
        <f aca="false">Dairy!T59</f>
        <v>-0.0176246354073685</v>
      </c>
      <c r="K15" s="8" t="n">
        <f aca="false">INDEX(Dairy!$G$65:$G$73,MATCH(Dairy!B59,Dairy!$A$65:$A$73,0))</f>
        <v>0.15</v>
      </c>
      <c r="L15" s="12" t="s">
        <v>54</v>
      </c>
      <c r="M15" s="13" t="s">
        <v>45</v>
      </c>
      <c r="N15" s="9" t="n">
        <f aca="false">Dairy!U59</f>
        <v>2.23588522301344</v>
      </c>
      <c r="O15" s="2" t="str">
        <f aca="false">IF(F15&gt;=0.2,"primary product: displacement is a fifth or more of the replaced volume",IF(F15&gt;=0.05,"co-product: a twentieth to a fifth","by-product or quota-limited: under a twentieth; price falls toward the floor instead"))</f>
        <v>by-product or quota-limited: under a twentieth; price falls toward the floor instead</v>
      </c>
    </row>
    <row r="16" customFormat="false" ht="23.85" hidden="false" customHeight="false" outlineLevel="0" collapsed="false">
      <c r="A16" s="5" t="s">
        <v>40</v>
      </c>
      <c r="B16" s="7" t="str">
        <f aca="false">Dairy!A60</f>
        <v>Calves (beef-on-dairy, bull calves)</v>
      </c>
      <c r="C16" s="8" t="n">
        <f aca="false">Dairy!I60</f>
        <v>0.0312</v>
      </c>
      <c r="D16" s="9" t="n">
        <f aca="false">INDEX(Dairy!$F$65:$F$73,MATCH(Dairy!B60,Dairy!$A$65:$A$73,0))</f>
        <v>-0.6</v>
      </c>
      <c r="E16" s="10" t="n">
        <f aca="false">Dairy!L60</f>
        <v>0.00528528569759102</v>
      </c>
      <c r="F16" s="10" t="n">
        <f aca="false">Dairy!M60</f>
        <v>0.019874535315675</v>
      </c>
      <c r="G16" s="10" t="n">
        <f aca="false">Dairy!N60</f>
        <v>0.0345445571201256</v>
      </c>
      <c r="H16" s="11" t="n">
        <f aca="false">1-F16</f>
        <v>0.980125464684325</v>
      </c>
      <c r="I16" s="8" t="n">
        <f aca="false">Dairy!Q60</f>
        <v>-0.163354244114054</v>
      </c>
      <c r="J16" s="8" t="n">
        <f aca="false">Dairy!T60</f>
        <v>-0.0166987585166864</v>
      </c>
      <c r="K16" s="8" t="n">
        <f aca="false">INDEX(Dairy!$G$65:$G$73,MATCH(Dairy!B60,Dairy!$A$65:$A$73,0))</f>
        <v>0.05</v>
      </c>
      <c r="L16" s="12" t="s">
        <v>51</v>
      </c>
      <c r="M16" s="13" t="s">
        <v>51</v>
      </c>
      <c r="N16" s="9" t="n">
        <f aca="false">Dairy!U60</f>
        <v>1.9874535315675</v>
      </c>
      <c r="O16" s="2" t="str">
        <f aca="false">IF(F16&gt;=0.2,"primary product: displacement is a fifth or more of the replaced volume",IF(F16&gt;=0.05,"co-product: a twentieth to a fifth","by-product or quota-limited: under a twentieth; price falls toward the floor instead"))</f>
        <v>by-product or quota-limited: under a twentieth; price falls toward the floor instead</v>
      </c>
    </row>
    <row r="18" customFormat="false" ht="15" hidden="false" customHeight="false" outlineLevel="0" collapsed="false">
      <c r="A18" s="5" t="s">
        <v>55</v>
      </c>
      <c r="B18" s="7" t="str">
        <f aca="false">Beef!A42</f>
        <v>Middle meats: steaks and roasts from rib and loin</v>
      </c>
      <c r="C18" s="8" t="n">
        <f aca="false">Beef!I42</f>
        <v>0.434079965079031</v>
      </c>
      <c r="D18" s="9" t="n">
        <f aca="false">INDEX(Beef!$F$54:$F$57,MATCH(Beef!B42,Beef!$A$54:$A$57,0))</f>
        <v>-1</v>
      </c>
      <c r="E18" s="10" t="n">
        <f aca="false">Beef!L42</f>
        <v>0.0563539814813711</v>
      </c>
      <c r="F18" s="10" t="n">
        <f aca="false">Beef!M42</f>
        <v>0.189880308399777</v>
      </c>
      <c r="G18" s="10" t="n">
        <f aca="false">Beef!N42</f>
        <v>0.418967182340482</v>
      </c>
      <c r="H18" s="11" t="n">
        <f aca="false">1-F18</f>
        <v>0.810119691600223</v>
      </c>
      <c r="I18" s="8" t="n">
        <f aca="false">Beef!Q42</f>
        <v>-0.0810119691600223</v>
      </c>
      <c r="J18" s="8" t="n">
        <f aca="false">Beef!T42</f>
        <v>-0.189880308399777</v>
      </c>
      <c r="K18" s="8" t="n">
        <f aca="false">INDEX(Beef!$G$54:$G$57,MATCH(Beef!B42,Beef!$A$54:$A$57,0))</f>
        <v>0</v>
      </c>
      <c r="L18" s="12" t="s">
        <v>56</v>
      </c>
      <c r="M18" s="13" t="s">
        <v>57</v>
      </c>
      <c r="N18" s="9" t="n">
        <f aca="false">Beef!U42</f>
        <v>0.922833174893696</v>
      </c>
      <c r="O18" s="2" t="str">
        <f aca="false">IF(F18&gt;=0.2,"primary product: displacement is a fifth or more of the replaced volume",IF(F18&gt;=0.05,"co-product: a twentieth to a fifth","by-product or quota-limited: under a twentieth; price falls toward the floor instead"))</f>
        <v>co-product: a twentieth to a fifth</v>
      </c>
    </row>
    <row r="19" customFormat="false" ht="23.85" hidden="false" customHeight="false" outlineLevel="0" collapsed="false">
      <c r="A19" s="5" t="s">
        <v>55</v>
      </c>
      <c r="B19" s="7" t="str">
        <f aca="false">Beef!A43</f>
        <v>End-meat whole-muscle cuts (chuck/round roasts, steaks; 50% of chuck+round)</v>
      </c>
      <c r="C19" s="8" t="n">
        <f aca="false">Beef!I43</f>
        <v>0.218759269698106</v>
      </c>
      <c r="D19" s="9" t="n">
        <f aca="false">INDEX(Beef!$F$54:$F$57,MATCH(Beef!B43,Beef!$A$54:$A$57,0))</f>
        <v>-0.9</v>
      </c>
      <c r="E19" s="10" t="n">
        <f aca="false">Beef!L43</f>
        <v>0.0315557726819625</v>
      </c>
      <c r="F19" s="10" t="n">
        <f aca="false">Beef!M43</f>
        <v>0.106324694212156</v>
      </c>
      <c r="G19" s="10" t="n">
        <f aca="false">Beef!N43</f>
        <v>0.234603355780798</v>
      </c>
      <c r="H19" s="11" t="n">
        <f aca="false">1-F19</f>
        <v>0.893675305787844</v>
      </c>
      <c r="I19" s="8" t="n">
        <f aca="false">Beef!Q43</f>
        <v>-0.0817927442609</v>
      </c>
      <c r="J19" s="8" t="n">
        <f aca="false">Beef!T43</f>
        <v>-0.106324694212156</v>
      </c>
      <c r="K19" s="8" t="n">
        <f aca="false">INDEX(Beef!$G$54:$G$57,MATCH(Beef!B43,Beef!$A$54:$A$57,0))</f>
        <v>0</v>
      </c>
      <c r="L19" s="12" t="s">
        <v>58</v>
      </c>
      <c r="M19" s="13" t="s">
        <v>57</v>
      </c>
      <c r="N19" s="9" t="n">
        <f aca="false">Beef!U43</f>
        <v>0.649862748911481</v>
      </c>
      <c r="O19" s="2" t="str">
        <f aca="false">IF(F19&gt;=0.2,"primary product: displacement is a fifth or more of the replaced volume",IF(F19&gt;=0.05,"co-product: a twentieth to a fifth","by-product or quota-limited: under a twentieth; price falls toward the floor instead"))</f>
        <v>co-product: a twentieth to a fifth</v>
      </c>
    </row>
    <row r="20" customFormat="false" ht="23.85" hidden="false" customHeight="false" outlineLevel="0" collapsed="false">
      <c r="A20" s="5" t="s">
        <v>55</v>
      </c>
      <c r="B20" s="7" t="str">
        <f aca="false">Beef!A44</f>
        <v>Thin-meat whole-muscle (brisket, flank, skirt; 40% of thin meats)</v>
      </c>
      <c r="C20" s="8" t="n">
        <f aca="false">Beef!I44</f>
        <v>0.0409081654684612</v>
      </c>
      <c r="D20" s="9" t="n">
        <f aca="false">INDEX(Beef!$F$54:$F$57,MATCH(Beef!B44,Beef!$A$54:$A$57,0))</f>
        <v>-0.9</v>
      </c>
      <c r="E20" s="10" t="n">
        <f aca="false">Beef!L44</f>
        <v>0.00590095574985387</v>
      </c>
      <c r="F20" s="10" t="n">
        <f aca="false">Beef!M44</f>
        <v>0.0198828062930404</v>
      </c>
      <c r="G20" s="10" t="n">
        <f aca="false">Beef!N44</f>
        <v>0.0438710227501744</v>
      </c>
      <c r="H20" s="11" t="n">
        <f aca="false">1-F20</f>
        <v>0.98011719370696</v>
      </c>
      <c r="I20" s="8" t="n">
        <f aca="false">Beef!Q44</f>
        <v>-0.0152953112385226</v>
      </c>
      <c r="J20" s="8" t="n">
        <f aca="false">Beef!T44</f>
        <v>-0.0198828062930404</v>
      </c>
      <c r="K20" s="8" t="n">
        <f aca="false">INDEX(Beef!$G$54:$G$57,MATCH(Beef!B44,Beef!$A$54:$A$57,0))</f>
        <v>0</v>
      </c>
      <c r="L20" s="12" t="s">
        <v>59</v>
      </c>
      <c r="M20" s="13" t="s">
        <v>57</v>
      </c>
      <c r="N20" s="9" t="n">
        <f aca="false">Beef!U44</f>
        <v>0.512337824495992</v>
      </c>
      <c r="O20" s="2" t="str">
        <f aca="false">IF(F20&gt;=0.2,"primary product: displacement is a fifth or more of the replaced volume",IF(F20&gt;=0.05,"co-product: a twentieth to a fifth","by-product or quota-limited: under a twentieth; price falls toward the floor instead"))</f>
        <v>by-product or quota-limited: under a twentieth; price falls toward the floor instead</v>
      </c>
    </row>
    <row r="21" customFormat="false" ht="23.85" hidden="false" customHeight="false" outlineLevel="0" collapsed="false">
      <c r="A21" s="5" t="s">
        <v>55</v>
      </c>
      <c r="B21" s="7" t="str">
        <f aca="false">Beef!A45</f>
        <v>Grinding material: trim and ground chuck/round (minced beef)</v>
      </c>
      <c r="C21" s="8" t="n">
        <f aca="false">Beef!I45</f>
        <v>0.245947682564575</v>
      </c>
      <c r="D21" s="9" t="n">
        <f aca="false">INDEX(Beef!$F$54:$F$57,MATCH(Beef!B45,Beef!$A$54:$A$57,0))</f>
        <v>-0.85</v>
      </c>
      <c r="E21" s="10" t="n">
        <f aca="false">Beef!L45</f>
        <v>0.037564591681808</v>
      </c>
      <c r="F21" s="10" t="n">
        <f aca="false">Beef!M45</f>
        <v>0.126570937242674</v>
      </c>
      <c r="G21" s="10" t="n">
        <f aca="false">Beef!N45</f>
        <v>0.279276294575574</v>
      </c>
      <c r="H21" s="11" t="n">
        <f aca="false">1-F21</f>
        <v>0.873429062757327</v>
      </c>
      <c r="I21" s="8" t="n">
        <f aca="false">Beef!Q45</f>
        <v>-0.102756360324391</v>
      </c>
      <c r="J21" s="8" t="n">
        <f aca="false">Beef!T45</f>
        <v>-0.0873533319825581</v>
      </c>
      <c r="K21" s="8" t="n">
        <f aca="false">INDEX(Beef!$G$54:$G$57,MATCH(Beef!B45,Beef!$A$54:$A$57,0))</f>
        <v>0.3</v>
      </c>
      <c r="L21" s="12" t="s">
        <v>60</v>
      </c>
      <c r="M21" s="13" t="s">
        <v>45</v>
      </c>
      <c r="N21" s="9" t="n">
        <f aca="false">Beef!U45</f>
        <v>0.570594290234437</v>
      </c>
      <c r="O21" s="2" t="str">
        <f aca="false">IF(F21&gt;=0.2,"primary product: displacement is a fifth or more of the replaced volume",IF(F21&gt;=0.05,"co-product: a twentieth to a fifth","by-product or quota-limited: under a twentieth; price falls toward the floor instead"))</f>
        <v>co-product: a twentieth to a fifth</v>
      </c>
    </row>
    <row r="22" customFormat="false" ht="23.85" hidden="false" customHeight="false" outlineLevel="0" collapsed="false">
      <c r="A22" s="5" t="s">
        <v>55</v>
      </c>
      <c r="B22" s="7" t="str">
        <f aca="false">Beef!A46</f>
        <v>Hide</v>
      </c>
      <c r="C22" s="8" t="n">
        <f aca="false">Beef!I46</f>
        <v>0.00697973578585972</v>
      </c>
      <c r="D22" s="9" t="n">
        <f aca="false">INDEX(Beef!$F$54:$F$57,MATCH(Beef!B46,Beef!$A$54:$A$57,0))</f>
        <v>-2.5</v>
      </c>
      <c r="E22" s="10" t="n">
        <f aca="false">Beef!L46</f>
        <v>0.000362454785168064</v>
      </c>
      <c r="F22" s="10" t="n">
        <f aca="false">Beef!M46</f>
        <v>0.00122126289180539</v>
      </c>
      <c r="G22" s="10" t="n">
        <f aca="false">Beef!N46</f>
        <v>0.00269469265659406</v>
      </c>
      <c r="H22" s="11" t="n">
        <f aca="false">1-F22</f>
        <v>0.998778737108195</v>
      </c>
      <c r="I22" s="8" t="n">
        <f aca="false">Beef!Q46</f>
        <v>-0.00458077911395741</v>
      </c>
      <c r="J22" s="8" t="n">
        <f aca="false">Beef!T46</f>
        <v>-0.00122126289180539</v>
      </c>
      <c r="K22" s="8" t="n">
        <f aca="false">INDEX(Beef!$G$54:$G$57,MATCH(Beef!B46,Beef!$A$54:$A$57,0))</f>
        <v>0.4</v>
      </c>
      <c r="L22" s="12" t="s">
        <v>61</v>
      </c>
      <c r="M22" s="13" t="s">
        <v>45</v>
      </c>
      <c r="N22" s="9" t="n">
        <f aca="false">Beef!U46</f>
        <v>1.70976804852755</v>
      </c>
      <c r="O22" s="2" t="str">
        <f aca="false">IF(F22&gt;=0.2,"primary product: displacement is a fifth or more of the replaced volume",IF(F22&gt;=0.05,"co-product: a twentieth to a fifth","by-product or quota-limited: under a twentieth; price falls toward the floor instead"))</f>
        <v>by-product or quota-limited: under a twentieth; price falls toward the floor instead</v>
      </c>
    </row>
    <row r="23" customFormat="false" ht="23.85" hidden="false" customHeight="false" outlineLevel="0" collapsed="false">
      <c r="A23" s="5" t="s">
        <v>55</v>
      </c>
      <c r="B23" s="7" t="str">
        <f aca="false">Beef!A47</f>
        <v>Tallow and technical fat</v>
      </c>
      <c r="C23" s="8" t="n">
        <f aca="false">Beef!I47</f>
        <v>0.015395302933382</v>
      </c>
      <c r="D23" s="9" t="n">
        <f aca="false">INDEX(Beef!$F$54:$F$57,MATCH(Beef!B47,Beef!$A$54:$A$57,0))</f>
        <v>-2.5</v>
      </c>
      <c r="E23" s="10" t="n">
        <f aca="false">Beef!L47</f>
        <v>0.000799471697570701</v>
      </c>
      <c r="F23" s="10" t="n">
        <f aca="false">Beef!M47</f>
        <v>0.0026937570070679</v>
      </c>
      <c r="G23" s="10" t="n">
        <f aca="false">Beef!N47</f>
        <v>0.0059437220882589</v>
      </c>
      <c r="H23" s="11" t="n">
        <f aca="false">1-F23</f>
        <v>0.997306242992932</v>
      </c>
      <c r="I23" s="8" t="n">
        <f aca="false">Beef!Q47</f>
        <v>-0.0101038899313575</v>
      </c>
      <c r="J23" s="8" t="n">
        <f aca="false">Beef!T47</f>
        <v>-0.0026937570070679</v>
      </c>
      <c r="K23" s="8" t="n">
        <f aca="false">INDEX(Beef!$G$54:$G$57,MATCH(Beef!B47,Beef!$A$54:$A$57,0))</f>
        <v>0.4</v>
      </c>
      <c r="L23" s="12" t="s">
        <v>62</v>
      </c>
      <c r="M23" s="13" t="s">
        <v>45</v>
      </c>
      <c r="N23" s="9" t="n">
        <f aca="false">Beef!U47</f>
        <v>3.77125980989506</v>
      </c>
      <c r="O23" s="2" t="str">
        <f aca="false">IF(F23&gt;=0.2,"primary product: displacement is a fifth or more of the replaced volume",IF(F23&gt;=0.05,"co-product: a twentieth to a fifth","by-product or quota-limited: under a twentieth; price falls toward the floor instead"))</f>
        <v>by-product or quota-limited: under a twentieth; price falls toward the floor instead</v>
      </c>
    </row>
    <row r="24" customFormat="false" ht="23.85" hidden="false" customHeight="false" outlineLevel="0" collapsed="false">
      <c r="A24" s="5" t="s">
        <v>55</v>
      </c>
      <c r="B24" s="7" t="str">
        <f aca="false">Beef!A48</f>
        <v>Edible offal (tongue, cheek, oxtail, liver, tripe, hearts, lips)</v>
      </c>
      <c r="C24" s="8" t="n">
        <f aca="false">Beef!I48</f>
        <v>0.0324258582508797</v>
      </c>
      <c r="D24" s="9" t="n">
        <f aca="false">INDEX(Beef!$F$54:$F$57,MATCH(Beef!B48,Beef!$A$54:$A$57,0))</f>
        <v>-2.5</v>
      </c>
      <c r="E24" s="10" t="n">
        <f aca="false">Beef!L48</f>
        <v>0.00168386137338078</v>
      </c>
      <c r="F24" s="10" t="n">
        <f aca="false">Beef!M48</f>
        <v>0.00567363846307306</v>
      </c>
      <c r="G24" s="10" t="n">
        <f aca="false">Beef!N48</f>
        <v>0.0125187721703484</v>
      </c>
      <c r="H24" s="11" t="n">
        <f aca="false">1-F24</f>
        <v>0.994326361536927</v>
      </c>
      <c r="I24" s="8" t="n">
        <f aca="false">Beef!Q48</f>
        <v>-0.0212809909694136</v>
      </c>
      <c r="J24" s="8" t="n">
        <f aca="false">Beef!T48</f>
        <v>-0.00567363846307306</v>
      </c>
      <c r="K24" s="8" t="n">
        <f aca="false">INDEX(Beef!$G$54:$G$57,MATCH(Beef!B48,Beef!$A$54:$A$57,0))</f>
        <v>0.4</v>
      </c>
      <c r="L24" s="12" t="s">
        <v>51</v>
      </c>
      <c r="M24" s="13" t="s">
        <v>57</v>
      </c>
      <c r="N24" s="9" t="n">
        <f aca="false">Beef!U48</f>
        <v>7.94309384830228</v>
      </c>
      <c r="O24" s="2" t="str">
        <f aca="false">IF(F24&gt;=0.2,"primary product: displacement is a fifth or more of the replaced volume",IF(F24&gt;=0.05,"co-product: a twentieth to a fifth","by-product or quota-limited: under a twentieth; price falls toward the floor instead"))</f>
        <v>by-product or quota-limited: under a twentieth; price falls toward the floor instead</v>
      </c>
    </row>
    <row r="25" customFormat="false" ht="23.85" hidden="false" customHeight="false" outlineLevel="0" collapsed="false">
      <c r="A25" s="5" t="s">
        <v>55</v>
      </c>
      <c r="B25" s="7" t="str">
        <f aca="false">Beef!A49</f>
        <v>Meat &amp; bone meal, blood meal</v>
      </c>
      <c r="C25" s="8" t="n">
        <f aca="false">Beef!I49</f>
        <v>0.00550402021970652</v>
      </c>
      <c r="D25" s="9" t="n">
        <f aca="false">INDEX(Beef!$F$54:$F$57,MATCH(Beef!B49,Beef!$A$54:$A$57,0))</f>
        <v>-2.5</v>
      </c>
      <c r="E25" s="10" t="n">
        <f aca="false">Beef!L49</f>
        <v>0.00028582148773253</v>
      </c>
      <c r="F25" s="10" t="n">
        <f aca="false">Beef!M49</f>
        <v>0.000963053023252253</v>
      </c>
      <c r="G25" s="10" t="n">
        <f aca="false">Beef!N49</f>
        <v>0.00212495763777131</v>
      </c>
      <c r="H25" s="11" t="n">
        <f aca="false">1-F25</f>
        <v>0.999036946976748</v>
      </c>
      <c r="I25" s="8" t="n">
        <f aca="false">Beef!Q49</f>
        <v>-0.00361227152986356</v>
      </c>
      <c r="J25" s="8" t="n">
        <f aca="false">Beef!T49</f>
        <v>-0.000963053023252253</v>
      </c>
      <c r="K25" s="8" t="n">
        <f aca="false">INDEX(Beef!$G$54:$G$57,MATCH(Beef!B49,Beef!$A$54:$A$57,0))</f>
        <v>0.4</v>
      </c>
      <c r="L25" s="12" t="s">
        <v>63</v>
      </c>
      <c r="M25" s="13" t="s">
        <v>45</v>
      </c>
      <c r="N25" s="9" t="n">
        <f aca="false">Beef!U49</f>
        <v>1.34827423255315</v>
      </c>
      <c r="O25" s="2" t="str">
        <f aca="false">IF(F25&gt;=0.2,"primary product: displacement is a fifth or more of the replaced volume",IF(F25&gt;=0.05,"co-product: a twentieth to a fifth","by-product or quota-limited: under a twentieth; price falls toward the floor instead"))</f>
        <v>by-product or quota-limited: under a twentieth; price falls toward the floor instead</v>
      </c>
    </row>
    <row r="27" customFormat="false" ht="23.85" hidden="false" customHeight="false" outlineLevel="0" collapsed="false">
      <c r="A27" s="5" t="s">
        <v>64</v>
      </c>
      <c r="B27" s="7" t="str">
        <f aca="false">Eggs!A27</f>
        <v>Shell eggs (table)</v>
      </c>
      <c r="C27" s="8" t="n">
        <f aca="false">Eggs!I27</f>
        <v>0.828132361352592</v>
      </c>
      <c r="D27" s="9" t="n">
        <f aca="false">INDEX(Eggs!$F$36:$F$40,MATCH(Eggs!B27,Eggs!$A$36:$A$40,0))</f>
        <v>-0.27</v>
      </c>
      <c r="E27" s="10" t="n">
        <f aca="false">Eggs!L27</f>
        <v>0.0395912667232114</v>
      </c>
      <c r="F27" s="10" t="n">
        <f aca="false">Eggs!M27</f>
        <v>0.457800952836497</v>
      </c>
      <c r="G27" s="10" t="n">
        <f aca="false">Eggs!N27</f>
        <v>0.679932324832355</v>
      </c>
      <c r="H27" s="11" t="n">
        <f aca="false">1-F27</f>
        <v>0.542199047163503</v>
      </c>
      <c r="I27" s="8" t="n">
        <f aca="false">Eggs!Q27</f>
        <v>-0.0458364929044388</v>
      </c>
      <c r="J27" s="8" t="n">
        <f aca="false">Eggs!T27</f>
        <v>-0.457800952836497</v>
      </c>
      <c r="K27" s="8" t="n">
        <f aca="false">INDEX(Eggs!$G$36:$G$40,MATCH(Eggs!B27,Eggs!$A$36:$A$40,0))</f>
        <v>0</v>
      </c>
      <c r="L27" s="12" t="s">
        <v>65</v>
      </c>
      <c r="M27" s="13" t="s">
        <v>48</v>
      </c>
      <c r="N27" s="9" t="n">
        <f aca="false">Eggs!U27</f>
        <v>1.00985504302169</v>
      </c>
      <c r="O27" s="2" t="str">
        <f aca="false">IF(F27&gt;=0.2,"primary product: displacement is a fifth or more of the replaced volume",IF(F27&gt;=0.05,"co-product: a twentieth to a fifth","by-product or quota-limited: under a twentieth; price falls toward the floor instead"))</f>
        <v>primary product: displacement is a fifth or more of the replaced volume</v>
      </c>
    </row>
    <row r="28" customFormat="false" ht="15" hidden="false" customHeight="false" outlineLevel="0" collapsed="false">
      <c r="A28" s="5" t="s">
        <v>64</v>
      </c>
      <c r="B28" s="7" t="str">
        <f aca="false">Eggs!A28</f>
        <v>Liquid/frozen whole egg</v>
      </c>
      <c r="C28" s="8" t="n">
        <f aca="false">Eggs!I28</f>
        <v>0.111763717937234</v>
      </c>
      <c r="D28" s="9" t="n">
        <f aca="false">INDEX(Eggs!$F$36:$F$40,MATCH(Eggs!B28,Eggs!$A$36:$A$40,0))</f>
        <v>-0.8</v>
      </c>
      <c r="E28" s="10" t="n">
        <f aca="false">Eggs!L28</f>
        <v>0.0119239579778143</v>
      </c>
      <c r="F28" s="10" t="n">
        <f aca="false">Eggs!M28</f>
        <v>0.137878875207227</v>
      </c>
      <c r="G28" s="10" t="n">
        <f aca="false">Eggs!N28</f>
        <v>0.204779617831862</v>
      </c>
      <c r="H28" s="11" t="n">
        <f aca="false">1-F28</f>
        <v>0.862121124792773</v>
      </c>
      <c r="I28" s="8" t="n">
        <f aca="false">Eggs!Q28</f>
        <v>-0.0138048731571016</v>
      </c>
      <c r="J28" s="8" t="n">
        <f aca="false">Eggs!T28</f>
        <v>-0.136969190312137</v>
      </c>
      <c r="K28" s="8" t="n">
        <f aca="false">INDEX(Eggs!$G$36:$G$40,MATCH(Eggs!B28,Eggs!$A$36:$A$40,0))</f>
        <v>0.5</v>
      </c>
      <c r="L28" s="12" t="s">
        <v>66</v>
      </c>
      <c r="M28" s="13" t="s">
        <v>42</v>
      </c>
      <c r="N28" s="9" t="n">
        <f aca="false">Eggs!U28</f>
        <v>0.782833366683477</v>
      </c>
      <c r="O28" s="2" t="str">
        <f aca="false">IF(F28&gt;=0.2,"primary product: displacement is a fifth or more of the replaced volume",IF(F28&gt;=0.05,"co-product: a twentieth to a fifth","by-product or quota-limited: under a twentieth; price falls toward the floor instead"))</f>
        <v>co-product: a twentieth to a fifth</v>
      </c>
    </row>
    <row r="29" customFormat="false" ht="23.85" hidden="false" customHeight="false" outlineLevel="0" collapsed="false">
      <c r="A29" s="5" t="s">
        <v>64</v>
      </c>
      <c r="B29" s="7" t="str">
        <f aca="false">Eggs!A29</f>
        <v>Liquid egg white (albumen): liquid, dried albumen, protein fractions</v>
      </c>
      <c r="C29" s="8" t="n">
        <f aca="false">Eggs!I29</f>
        <v>0.0285545454025032</v>
      </c>
      <c r="D29" s="9" t="n">
        <f aca="false">INDEX(Eggs!$F$36:$F$40,MATCH(Eggs!B29,Eggs!$A$36:$A$40,0))</f>
        <v>-1.5</v>
      </c>
      <c r="E29" s="10" t="n">
        <f aca="false">Eggs!L29</f>
        <v>0.00257628562269</v>
      </c>
      <c r="F29" s="10" t="n">
        <f aca="false">Eggs!M29</f>
        <v>0.0297900549909655</v>
      </c>
      <c r="G29" s="10" t="n">
        <f aca="false">Eggs!N29</f>
        <v>0.0442446028593676</v>
      </c>
      <c r="H29" s="11" t="n">
        <f aca="false">1-F29</f>
        <v>0.970209945009035</v>
      </c>
      <c r="I29" s="8" t="n">
        <f aca="false">Eggs!Q29</f>
        <v>-0.0434299407223391</v>
      </c>
      <c r="J29" s="8" t="n">
        <f aca="false">Eggs!T29</f>
        <v>-0.0271338530710786</v>
      </c>
      <c r="K29" s="8" t="n">
        <f aca="false">INDEX(Eggs!$G$36:$G$40,MATCH(Eggs!B29,Eggs!$A$36:$A$40,0))</f>
        <v>0.35</v>
      </c>
      <c r="L29" s="12" t="s">
        <v>67</v>
      </c>
      <c r="M29" s="13" t="s">
        <v>45</v>
      </c>
      <c r="N29" s="9" t="n">
        <f aca="false">Eggs!U29</f>
        <v>0.4614050969194</v>
      </c>
      <c r="O29" s="2" t="str">
        <f aca="false">IF(F29&gt;=0.2,"primary product: displacement is a fifth or more of the replaced volume",IF(F29&gt;=0.05,"co-product: a twentieth to a fifth","by-product or quota-limited: under a twentieth; price falls toward the floor instead"))</f>
        <v>by-product or quota-limited: under a twentieth; price falls toward the floor instead</v>
      </c>
    </row>
    <row r="30" customFormat="false" ht="23.85" hidden="false" customHeight="false" outlineLevel="0" collapsed="false">
      <c r="A30" s="5" t="s">
        <v>64</v>
      </c>
      <c r="B30" s="7" t="str">
        <f aca="false">Eggs!A30</f>
        <v>Liquid egg yolk</v>
      </c>
      <c r="C30" s="8" t="n">
        <f aca="false">Eggs!I30</f>
        <v>0.0305238243957793</v>
      </c>
      <c r="D30" s="9" t="n">
        <f aca="false">INDEX(Eggs!$F$36:$F$40,MATCH(Eggs!B30,Eggs!$A$36:$A$40,0))</f>
        <v>-1</v>
      </c>
      <c r="E30" s="10" t="n">
        <f aca="false">Eggs!L30</f>
        <v>0.00413094073983052</v>
      </c>
      <c r="F30" s="10" t="n">
        <f aca="false">Eggs!M30</f>
        <v>0.0477668123130999</v>
      </c>
      <c r="G30" s="10" t="n">
        <f aca="false">Eggs!N30</f>
        <v>0.070943932171055</v>
      </c>
      <c r="H30" s="11" t="n">
        <f aca="false">1-F30</f>
        <v>0.9522331876869</v>
      </c>
      <c r="I30" s="8" t="n">
        <f aca="false">Eggs!Q30</f>
        <v>-0.0441116677718327</v>
      </c>
      <c r="J30" s="8" t="n">
        <f aca="false">Eggs!T30</f>
        <v>-0.037842529923742</v>
      </c>
      <c r="K30" s="8" t="n">
        <f aca="false">INDEX(Eggs!$G$36:$G$40,MATCH(Eggs!B30,Eggs!$A$36:$A$40,0))</f>
        <v>0.5</v>
      </c>
      <c r="L30" s="12" t="s">
        <v>68</v>
      </c>
      <c r="M30" s="13" t="s">
        <v>48</v>
      </c>
      <c r="N30" s="9" t="n">
        <f aca="false">Eggs!U30</f>
        <v>1.3842152907582</v>
      </c>
      <c r="O30" s="2" t="str">
        <f aca="false">IF(F30&gt;=0.2,"primary product: displacement is a fifth or more of the replaced volume",IF(F30&gt;=0.05,"co-product: a twentieth to a fifth","by-product or quota-limited: under a twentieth; price falls toward the floor instead"))</f>
        <v>by-product or quota-limited: under a twentieth; price falls toward the floor instead</v>
      </c>
    </row>
    <row r="31" customFormat="false" ht="23.85" hidden="false" customHeight="false" outlineLevel="0" collapsed="false">
      <c r="A31" s="5" t="s">
        <v>64</v>
      </c>
      <c r="B31" s="7" t="str">
        <f aca="false">Eggs!A31</f>
        <v>Spent hen (soup meat, rendering)</v>
      </c>
      <c r="C31" s="8" t="n">
        <f aca="false">Eggs!I31</f>
        <v>0.00102555091189175</v>
      </c>
      <c r="D31" s="9" t="n">
        <f aca="false">INDEX(Eggs!$F$36:$F$40,MATCH(Eggs!B31,Eggs!$A$36:$A$40,0))</f>
        <v>-5</v>
      </c>
      <c r="E31" s="10" t="n">
        <f aca="false">Eggs!L31</f>
        <v>5.79500928620342E-006</v>
      </c>
      <c r="F31" s="10" t="n">
        <f aca="false">Eggs!M31</f>
        <v>6.70087368375337E-005</v>
      </c>
      <c r="G31" s="10" t="n">
        <f aca="false">Eggs!N31</f>
        <v>9.95223053594123E-005</v>
      </c>
      <c r="H31" s="11" t="n">
        <f aca="false">1-F31</f>
        <v>0.999932991263163</v>
      </c>
      <c r="I31" s="8" t="n">
        <f aca="false">Eggs!Q31</f>
        <v>-0.0199986598252633</v>
      </c>
      <c r="J31" s="8" t="n">
        <f aca="false">Eggs!T31</f>
        <v>-6.70087368375337E-005</v>
      </c>
      <c r="K31" s="8" t="n">
        <f aca="false">INDEX(Eggs!$G$36:$G$40,MATCH(Eggs!B31,Eggs!$A$36:$A$40,0))</f>
        <v>0</v>
      </c>
      <c r="L31" s="12" t="s">
        <v>51</v>
      </c>
      <c r="M31" s="13" t="s">
        <v>51</v>
      </c>
      <c r="N31" s="9" t="n">
        <f aca="false">Eggs!U31</f>
        <v>0.00251282763140751</v>
      </c>
      <c r="O31" s="2" t="str">
        <f aca="false">IF(F31&gt;=0.2,"primary product: displacement is a fifth or more of the replaced volume",IF(F31&gt;=0.05,"co-product: a twentieth to a fifth","by-product or quota-limited: under a twentieth; price falls toward the floor instead"))</f>
        <v>by-product or quota-limited: under a twentieth; price falls toward the floor instead</v>
      </c>
    </row>
    <row r="33" customFormat="false" ht="23.85" hidden="false" customHeight="false" outlineLevel="0" collapsed="false">
      <c r="A33" s="5" t="s">
        <v>69</v>
      </c>
      <c r="B33" s="7" t="str">
        <f aca="false">Broiler!A33</f>
        <v>Boneless skinless breast (fillets, whole-muscle nuggets)</v>
      </c>
      <c r="C33" s="8" t="n">
        <f aca="false">Broiler!I33</f>
        <v>0.452139674913915</v>
      </c>
      <c r="D33" s="9" t="n">
        <f aca="false">INDEX(Broiler!$F$45:$F$50,MATCH(Broiler!B33,Broiler!$A$45:$A$50,0))</f>
        <v>-0.8</v>
      </c>
      <c r="E33" s="10" t="n">
        <f aca="false">Broiler!L33</f>
        <v>0.051240611215359</v>
      </c>
      <c r="F33" s="10" t="n">
        <f aca="false">Broiler!M33</f>
        <v>0.229896324397817</v>
      </c>
      <c r="G33" s="10" t="n">
        <f aca="false">Broiler!N33</f>
        <v>0.54881040356965</v>
      </c>
      <c r="H33" s="11" t="n">
        <f aca="false">1-F33</f>
        <v>0.770103675602183</v>
      </c>
      <c r="I33" s="8" t="n">
        <f aca="false">Broiler!Q33</f>
        <v>-0.0744254336646131</v>
      </c>
      <c r="J33" s="8" t="n">
        <f aca="false">Broiler!T33</f>
        <v>-0.229896324397817</v>
      </c>
      <c r="K33" s="8" t="n">
        <f aca="false">INDEX(Broiler!$G$45:$G$50,MATCH(Broiler!B33,Broiler!$A$45:$A$50,0))</f>
        <v>0</v>
      </c>
      <c r="L33" s="12" t="s">
        <v>70</v>
      </c>
      <c r="M33" s="13" t="s">
        <v>42</v>
      </c>
      <c r="N33" s="9" t="n">
        <f aca="false">Broiler!U33</f>
        <v>1.04261371608987</v>
      </c>
      <c r="O33" s="2" t="str">
        <f aca="false">IF(F33&gt;=0.2,"primary product: displacement is a fifth or more of the replaced volume",IF(F33&gt;=0.05,"co-product: a twentieth to a fifth","by-product or quota-limited: under a twentieth; price falls toward the floor instead"))</f>
        <v>primary product: displacement is a fifth or more of the replaced volume</v>
      </c>
    </row>
    <row r="34" customFormat="false" ht="23.85" hidden="false" customHeight="false" outlineLevel="0" collapsed="false">
      <c r="A34" s="5" t="s">
        <v>69</v>
      </c>
      <c r="B34" s="7" t="str">
        <f aca="false">Broiler!A34</f>
        <v>Tenders</v>
      </c>
      <c r="C34" s="8" t="n">
        <f aca="false">Broiler!I34</f>
        <v>0.0957093350547031</v>
      </c>
      <c r="D34" s="9" t="n">
        <f aca="false">INDEX(Broiler!$F$45:$F$50,MATCH(Broiler!B34,Broiler!$A$45:$A$50,0))</f>
        <v>-0.8</v>
      </c>
      <c r="E34" s="10" t="n">
        <f aca="false">Broiler!L34</f>
        <v>0.0108466588961747</v>
      </c>
      <c r="F34" s="10" t="n">
        <f aca="false">Broiler!M34</f>
        <v>0.0486646617415839</v>
      </c>
      <c r="G34" s="10" t="n">
        <f aca="false">Broiler!N34</f>
        <v>0.116172682272917</v>
      </c>
      <c r="H34" s="11" t="n">
        <f aca="false">1-F34</f>
        <v>0.951335338258416</v>
      </c>
      <c r="I34" s="8" t="n">
        <f aca="false">Broiler!Q34</f>
        <v>-0.0157544430679618</v>
      </c>
      <c r="J34" s="8" t="n">
        <f aca="false">Broiler!T34</f>
        <v>-0.0486646617415839</v>
      </c>
      <c r="K34" s="8" t="n">
        <f aca="false">INDEX(Broiler!$G$45:$G$50,MATCH(Broiler!B34,Broiler!$A$45:$A$50,0))</f>
        <v>0</v>
      </c>
      <c r="L34" s="12" t="s">
        <v>71</v>
      </c>
      <c r="M34" s="13" t="s">
        <v>42</v>
      </c>
      <c r="N34" s="9" t="n">
        <f aca="false">Broiler!U34</f>
        <v>1.2166165435396</v>
      </c>
      <c r="O34" s="2" t="str">
        <f aca="false">IF(F34&gt;=0.2,"primary product: displacement is a fifth or more of the replaced volume",IF(F34&gt;=0.05,"co-product: a twentieth to a fifth","by-product or quota-limited: under a twentieth; price falls toward the floor instead"))</f>
        <v>by-product or quota-limited: under a twentieth; price falls toward the floor instead</v>
      </c>
    </row>
    <row r="35" customFormat="false" ht="15" hidden="false" customHeight="false" outlineLevel="0" collapsed="false">
      <c r="A35" s="5" t="s">
        <v>69</v>
      </c>
      <c r="B35" s="7" t="str">
        <f aca="false">Broiler!A35</f>
        <v>Wings</v>
      </c>
      <c r="C35" s="8" t="n">
        <f aca="false">Broiler!I35</f>
        <v>0.199359674742809</v>
      </c>
      <c r="D35" s="9" t="n">
        <f aca="false">INDEX(Broiler!$F$45:$F$50,MATCH(Broiler!B35,Broiler!$A$45:$A$50,0))</f>
        <v>-1</v>
      </c>
      <c r="E35" s="10" t="n">
        <f aca="false">Broiler!L35</f>
        <v>0.0180746121648566</v>
      </c>
      <c r="F35" s="10" t="n">
        <f aca="false">Broiler!M35</f>
        <v>0.0810936248233332</v>
      </c>
      <c r="G35" s="10" t="n">
        <f aca="false">Broiler!N35</f>
        <v>0.193587370667166</v>
      </c>
      <c r="H35" s="11" t="n">
        <f aca="false">1-F35</f>
        <v>0.918906375176667</v>
      </c>
      <c r="I35" s="8" t="n">
        <f aca="false">Broiler!Q35</f>
        <v>-0.0918906375176667</v>
      </c>
      <c r="J35" s="8" t="n">
        <f aca="false">Broiler!T35</f>
        <v>-0.0810936248233332</v>
      </c>
      <c r="K35" s="8" t="n">
        <f aca="false">INDEX(Broiler!$G$45:$G$50,MATCH(Broiler!B35,Broiler!$A$45:$A$50,0))</f>
        <v>0</v>
      </c>
      <c r="L35" s="12" t="s">
        <v>72</v>
      </c>
      <c r="M35" s="13" t="s">
        <v>57</v>
      </c>
      <c r="N35" s="9" t="n">
        <f aca="false">Broiler!U35</f>
        <v>1.06983673909411</v>
      </c>
      <c r="O35" s="2" t="str">
        <f aca="false">IF(F35&gt;=0.2,"primary product: displacement is a fifth or more of the replaced volume",IF(F35&gt;=0.05,"co-product: a twentieth to a fifth","by-product or quota-limited: under a twentieth; price falls toward the floor instead"))</f>
        <v>co-product: a twentieth to a fifth</v>
      </c>
    </row>
    <row r="36" customFormat="false" ht="23.85" hidden="false" customHeight="false" outlineLevel="0" collapsed="false">
      <c r="A36" s="5" t="s">
        <v>69</v>
      </c>
      <c r="B36" s="7" t="str">
        <f aca="false">Broiler!A36</f>
        <v>Leg quarters / dark meat (whole legs)</v>
      </c>
      <c r="C36" s="8" t="n">
        <f aca="false">Broiler!I36</f>
        <v>0.16320180291218</v>
      </c>
      <c r="D36" s="9" t="n">
        <f aca="false">INDEX(Broiler!$F$45:$F$50,MATCH(Broiler!B36,Broiler!$A$45:$A$50,0))</f>
        <v>-1.5</v>
      </c>
      <c r="E36" s="10" t="n">
        <f aca="false">Broiler!L36</f>
        <v>0.00986427937695532</v>
      </c>
      <c r="F36" s="10" t="n">
        <f aca="false">Broiler!M36</f>
        <v>0.0442571139923381</v>
      </c>
      <c r="G36" s="10" t="n">
        <f aca="false">Broiler!N36</f>
        <v>0.105650947898294</v>
      </c>
      <c r="H36" s="11" t="n">
        <f aca="false">1-F36</f>
        <v>0.955742886007662</v>
      </c>
      <c r="I36" s="8" t="n">
        <f aca="false">Broiler!Q36</f>
        <v>-0.0637161924005108</v>
      </c>
      <c r="J36" s="8" t="n">
        <f aca="false">Broiler!T36</f>
        <v>-0.0392328302138298</v>
      </c>
      <c r="K36" s="8" t="n">
        <f aca="false">INDEX(Broiler!$G$45:$G$50,MATCH(Broiler!B36,Broiler!$A$45:$A$50,0))</f>
        <v>0.25</v>
      </c>
      <c r="L36" s="12"/>
      <c r="M36" s="13"/>
      <c r="N36" s="9" t="n">
        <f aca="false">Broiler!U36</f>
        <v>0.192338609267006</v>
      </c>
      <c r="O36" s="2" t="str">
        <f aca="false">IF(F36&gt;=0.2,"primary product: displacement is a fifth or more of the replaced volume",IF(F36&gt;=0.05,"co-product: a twentieth to a fifth","by-product or quota-limited: under a twentieth; price falls toward the floor instead"))</f>
        <v>by-product or quota-limited: under a twentieth; price falls toward the floor instead</v>
      </c>
    </row>
    <row r="37" customFormat="false" ht="23.85" hidden="false" customHeight="false" outlineLevel="0" collapsed="false">
      <c r="A37" s="5" t="s">
        <v>69</v>
      </c>
      <c r="B37" s="7" t="str">
        <f aca="false">Broiler!A37</f>
        <v>Backs, necks, frames -&gt; mechanically separated chicken (MSC nuggets, hot dogs)</v>
      </c>
      <c r="C37" s="8" t="n">
        <f aca="false">Broiler!I37</f>
        <v>0.0208708721554554</v>
      </c>
      <c r="D37" s="9" t="n">
        <f aca="false">INDEX(Broiler!$F$45:$F$50,MATCH(Broiler!B37,Broiler!$A$45:$A$50,0))</f>
        <v>-3</v>
      </c>
      <c r="E37" s="10" t="n">
        <f aca="false">Broiler!L37</f>
        <v>0.000630740929660295</v>
      </c>
      <c r="F37" s="10" t="n">
        <f aca="false">Broiler!M37</f>
        <v>0.00282988469373878</v>
      </c>
      <c r="G37" s="10" t="n">
        <f aca="false">Broiler!N37</f>
        <v>0.00675552410372117</v>
      </c>
      <c r="H37" s="11" t="n">
        <f aca="false">1-F37</f>
        <v>0.997170115306261</v>
      </c>
      <c r="I37" s="8" t="n">
        <f aca="false">Broiler!Q37</f>
        <v>-0.033239003843542</v>
      </c>
      <c r="J37" s="8" t="n">
        <f aca="false">Broiler!T37</f>
        <v>-0.00247823045232895</v>
      </c>
      <c r="K37" s="8" t="n">
        <f aca="false">INDEX(Broiler!$G$45:$G$50,MATCH(Broiler!B37,Broiler!$A$45:$A$50,0))</f>
        <v>0.5</v>
      </c>
      <c r="L37" s="12" t="s">
        <v>73</v>
      </c>
      <c r="M37" s="13" t="s">
        <v>45</v>
      </c>
      <c r="N37" s="9" t="n">
        <f aca="false">Broiler!U37</f>
        <v>0.0233874768077585</v>
      </c>
      <c r="O37" s="2" t="str">
        <f aca="false">IF(F37&gt;=0.2,"primary product: displacement is a fifth or more of the replaced volume",IF(F37&gt;=0.05,"co-product: a twentieth to a fifth","by-product or quota-limited: under a twentieth; price falls toward the floor instead"))</f>
        <v>by-product or quota-limited: under a twentieth; price falls toward the floor instead</v>
      </c>
    </row>
    <row r="38" customFormat="false" ht="23.85" hidden="false" customHeight="false" outlineLevel="0" collapsed="false">
      <c r="A38" s="5" t="s">
        <v>69</v>
      </c>
      <c r="B38" s="7" t="str">
        <f aca="false">Broiler!A38</f>
        <v>Giblets</v>
      </c>
      <c r="C38" s="8" t="n">
        <f aca="false">Broiler!I38</f>
        <v>0.0165587084869728</v>
      </c>
      <c r="D38" s="9" t="n">
        <f aca="false">INDEX(Broiler!$F$45:$F$50,MATCH(Broiler!B38,Broiler!$A$45:$A$50,0))</f>
        <v>-2</v>
      </c>
      <c r="E38" s="10" t="n">
        <f aca="false">Broiler!L38</f>
        <v>0.00075063383364531</v>
      </c>
      <c r="F38" s="10" t="n">
        <f aca="false">Broiler!M38</f>
        <v>0.00336779666031723</v>
      </c>
      <c r="G38" s="10" t="n">
        <f aca="false">Broiler!N38</f>
        <v>0.00803963199120536</v>
      </c>
      <c r="H38" s="11" t="n">
        <f aca="false">1-F38</f>
        <v>0.996632203339683</v>
      </c>
      <c r="I38" s="8" t="n">
        <f aca="false">Broiler!Q38</f>
        <v>-0.0152162255515995</v>
      </c>
      <c r="J38" s="8" t="n">
        <f aca="false">Broiler!T38</f>
        <v>-0.00336779666031723</v>
      </c>
      <c r="K38" s="8" t="n">
        <f aca="false">INDEX(Broiler!$G$45:$G$50,MATCH(Broiler!B38,Broiler!$A$45:$A$50,0))</f>
        <v>0.15</v>
      </c>
      <c r="L38" s="12" t="s">
        <v>51</v>
      </c>
      <c r="M38" s="13" t="s">
        <v>51</v>
      </c>
      <c r="N38" s="9" t="n">
        <f aca="false">Broiler!U38</f>
        <v>0.112259888677241</v>
      </c>
      <c r="O38" s="2" t="str">
        <f aca="false">IF(F38&gt;=0.2,"primary product: displacement is a fifth or more of the replaced volume",IF(F38&gt;=0.05,"co-product: a twentieth to a fifth","by-product or quota-limited: under a twentieth; price falls toward the floor instead"))</f>
        <v>by-product or quota-limited: under a twentieth; price falls toward the floor instead</v>
      </c>
    </row>
    <row r="39" customFormat="false" ht="23.85" hidden="false" customHeight="false" outlineLevel="0" collapsed="false">
      <c r="A39" s="5" t="s">
        <v>69</v>
      </c>
      <c r="B39" s="7" t="str">
        <f aca="false">Broiler!A39</f>
        <v>Paws (export)</v>
      </c>
      <c r="C39" s="8" t="n">
        <f aca="false">Broiler!I39</f>
        <v>0.0372570940956889</v>
      </c>
      <c r="D39" s="9" t="n">
        <f aca="false">INDEX(Broiler!$F$45:$F$50,MATCH(Broiler!B39,Broiler!$A$45:$A$50,0))</f>
        <v>-2</v>
      </c>
      <c r="E39" s="10" t="n">
        <f aca="false">Broiler!L39</f>
        <v>0.00168892612570195</v>
      </c>
      <c r="F39" s="10" t="n">
        <f aca="false">Broiler!M39</f>
        <v>0.00757754248571376</v>
      </c>
      <c r="G39" s="10" t="n">
        <f aca="false">Broiler!N39</f>
        <v>0.0180891719802121</v>
      </c>
      <c r="H39" s="11" t="n">
        <f aca="false">1-F39</f>
        <v>0.992422457514286</v>
      </c>
      <c r="I39" s="8" t="n">
        <f aca="false">Broiler!Q39</f>
        <v>-0.0342365074910989</v>
      </c>
      <c r="J39" s="8" t="n">
        <f aca="false">Broiler!T39</f>
        <v>-0.00757754248571376</v>
      </c>
      <c r="K39" s="8" t="n">
        <f aca="false">INDEX(Broiler!$G$45:$G$50,MATCH(Broiler!B39,Broiler!$A$45:$A$50,0))</f>
        <v>0.15</v>
      </c>
      <c r="L39" s="12" t="s">
        <v>51</v>
      </c>
      <c r="M39" s="13" t="s">
        <v>51</v>
      </c>
      <c r="N39" s="9" t="n">
        <f aca="false">Broiler!U39</f>
        <v>0.168389833015861</v>
      </c>
      <c r="O39" s="2" t="str">
        <f aca="false">IF(F39&gt;=0.2,"primary product: displacement is a fifth or more of the replaced volume",IF(F39&gt;=0.05,"co-product: a twentieth to a fifth","by-product or quota-limited: under a twentieth; price falls toward the floor instead"))</f>
        <v>by-product or quota-limited: under a twentieth; price falls toward the floor instead</v>
      </c>
    </row>
    <row r="40" customFormat="false" ht="23.85" hidden="false" customHeight="false" outlineLevel="0" collapsed="false">
      <c r="A40" s="5" t="s">
        <v>69</v>
      </c>
      <c r="B40" s="7" t="str">
        <f aca="false">Broiler!A40</f>
        <v>Feathers, blood, viscera, heads -&gt; rendering</v>
      </c>
      <c r="C40" s="8" t="n">
        <f aca="false">Broiler!I40</f>
        <v>0.0149028376382756</v>
      </c>
      <c r="D40" s="9" t="n">
        <f aca="false">INDEX(Broiler!$F$45:$F$50,MATCH(Broiler!B40,Broiler!$A$45:$A$50,0))</f>
        <v>-5</v>
      </c>
      <c r="E40" s="10" t="n">
        <f aca="false">Broiler!L40</f>
        <v>0.000270228180112312</v>
      </c>
      <c r="F40" s="10" t="n">
        <f aca="false">Broiler!M40</f>
        <v>0.0012124067977142</v>
      </c>
      <c r="G40" s="10" t="n">
        <f aca="false">Broiler!N40</f>
        <v>0.00289426751683393</v>
      </c>
      <c r="H40" s="11" t="n">
        <f aca="false">1-F40</f>
        <v>0.998787593202286</v>
      </c>
      <c r="I40" s="8" t="n">
        <f aca="false">Broiler!Q40</f>
        <v>-0.0199757518640457</v>
      </c>
      <c r="J40" s="8" t="n">
        <f aca="false">Broiler!T40</f>
        <v>-0.0012124067977142</v>
      </c>
      <c r="K40" s="8" t="n">
        <f aca="false">INDEX(Broiler!$G$45:$G$50,MATCH(Broiler!B40,Broiler!$A$45:$A$50,0))</f>
        <v>0</v>
      </c>
      <c r="L40" s="12" t="s">
        <v>63</v>
      </c>
      <c r="M40" s="13" t="s">
        <v>45</v>
      </c>
      <c r="N40" s="9" t="n">
        <f aca="false">Broiler!U40</f>
        <v>0.00898079109417927</v>
      </c>
      <c r="O40" s="2" t="str">
        <f aca="false">IF(F40&gt;=0.2,"primary product: displacement is a fifth or more of the replaced volume",IF(F40&gt;=0.05,"co-product: a twentieth to a fifth","by-product or quota-limited: under a twentieth; price falls toward the floor instead"))</f>
        <v>by-product or quota-limited: under a twentieth; price falls toward the floor instead</v>
      </c>
    </row>
    <row r="42" customFormat="false" ht="15" hidden="false" customHeight="false" outlineLevel="0" collapsed="false">
      <c r="A42" s="5" t="s">
        <v>74</v>
      </c>
      <c r="B42" s="7" t="str">
        <f aca="false">Pork!A33</f>
        <v>Loin (chops, roasts)</v>
      </c>
      <c r="C42" s="8" t="n">
        <f aca="false">Pork!I33</f>
        <v>0.231348184467879</v>
      </c>
      <c r="D42" s="9" t="n">
        <f aca="false">INDEX(Pork!$F$45:$F$49,MATCH(Pork!B33,Pork!$A$45:$A$49,0))</f>
        <v>-0.9</v>
      </c>
      <c r="E42" s="10" t="n">
        <f aca="false">Pork!L33</f>
        <v>0.0714493403182764</v>
      </c>
      <c r="F42" s="10" t="n">
        <f aca="false">Pork!M33</f>
        <v>0.145691391843179</v>
      </c>
      <c r="G42" s="10" t="n">
        <f aca="false">Pork!N33</f>
        <v>0.23417393637352</v>
      </c>
      <c r="H42" s="11" t="n">
        <f aca="false">1-F42</f>
        <v>0.854308608156821</v>
      </c>
      <c r="I42" s="8" t="n">
        <f aca="false">Pork!Q33</f>
        <v>-0.043608931379783</v>
      </c>
      <c r="J42" s="8" t="n">
        <f aca="false">Pork!T33</f>
        <v>-0.145691391843179</v>
      </c>
      <c r="K42" s="8" t="n">
        <f aca="false">INDEX(Pork!$G$45:$G$49,MATCH(Pork!B33,Pork!$A$45:$A$49,0))</f>
        <v>0</v>
      </c>
      <c r="L42" s="12" t="s">
        <v>75</v>
      </c>
      <c r="M42" s="13" t="s">
        <v>57</v>
      </c>
      <c r="N42" s="9" t="n">
        <f aca="false">Pork!U33</f>
        <v>0.753824499747581</v>
      </c>
      <c r="O42" s="2" t="str">
        <f aca="false">IF(F42&gt;=0.2,"primary product: displacement is a fifth or more of the replaced volume",IF(F42&gt;=0.05,"co-product: a twentieth to a fifth","by-product or quota-limited: under a twentieth; price falls toward the floor instead"))</f>
        <v>co-product: a twentieth to a fifth</v>
      </c>
    </row>
    <row r="43" customFormat="false" ht="15" hidden="false" customHeight="false" outlineLevel="0" collapsed="false">
      <c r="A43" s="5" t="s">
        <v>74</v>
      </c>
      <c r="B43" s="7" t="str">
        <f aca="false">Pork!A34</f>
        <v>Butt (shoulder)</v>
      </c>
      <c r="C43" s="8" t="n">
        <f aca="false">Pork!I34</f>
        <v>0.118457504800165</v>
      </c>
      <c r="D43" s="9" t="n">
        <f aca="false">INDEX(Pork!$F$45:$F$49,MATCH(Pork!B34,Pork!$A$45:$A$49,0))</f>
        <v>-0.9</v>
      </c>
      <c r="E43" s="10" t="n">
        <f aca="false">Pork!L34</f>
        <v>0.0365842964931328</v>
      </c>
      <c r="F43" s="10" t="n">
        <f aca="false">Pork!M34</f>
        <v>0.0745985484532832</v>
      </c>
      <c r="G43" s="10" t="n">
        <f aca="false">Pork!N34</f>
        <v>0.119904378138274</v>
      </c>
      <c r="H43" s="11" t="n">
        <f aca="false">1-F43</f>
        <v>0.925401451546717</v>
      </c>
      <c r="I43" s="8" t="n">
        <f aca="false">Pork!Q34</f>
        <v>-0.0223291365356185</v>
      </c>
      <c r="J43" s="8" t="n">
        <f aca="false">Pork!T34</f>
        <v>-0.0745985484532832</v>
      </c>
      <c r="K43" s="8" t="n">
        <f aca="false">INDEX(Pork!$G$45:$G$49,MATCH(Pork!B34,Pork!$A$45:$A$49,0))</f>
        <v>0</v>
      </c>
      <c r="L43" s="12" t="s">
        <v>76</v>
      </c>
      <c r="M43" s="13" t="s">
        <v>42</v>
      </c>
      <c r="N43" s="9" t="n">
        <f aca="false">Pork!U34</f>
        <v>0.956216515606999</v>
      </c>
      <c r="O43" s="2" t="str">
        <f aca="false">IF(F43&gt;=0.2,"primary product: displacement is a fifth or more of the replaced volume",IF(F43&gt;=0.05,"co-product: a twentieth to a fifth","by-product or quota-limited: under a twentieth; price falls toward the floor instead"))</f>
        <v>co-product: a twentieth to a fifth</v>
      </c>
    </row>
    <row r="44" customFormat="false" ht="15" hidden="false" customHeight="false" outlineLevel="0" collapsed="false">
      <c r="A44" s="5" t="s">
        <v>74</v>
      </c>
      <c r="B44" s="7" t="str">
        <f aca="false">Pork!A35</f>
        <v>Spareribs</v>
      </c>
      <c r="C44" s="8" t="n">
        <f aca="false">Pork!I35</f>
        <v>0.0800722707670423</v>
      </c>
      <c r="D44" s="9" t="n">
        <f aca="false">INDEX(Pork!$F$45:$F$49,MATCH(Pork!B35,Pork!$A$45:$A$49,0))</f>
        <v>-0.9</v>
      </c>
      <c r="E44" s="10" t="n">
        <f aca="false">Pork!L35</f>
        <v>0.0247294394691302</v>
      </c>
      <c r="F44" s="10" t="n">
        <f aca="false">Pork!M35</f>
        <v>0.0504254684467343</v>
      </c>
      <c r="G44" s="10" t="n">
        <f aca="false">Pork!N35</f>
        <v>0.0810502960419299</v>
      </c>
      <c r="H44" s="11" t="n">
        <f aca="false">1-F44</f>
        <v>0.949574531553266</v>
      </c>
      <c r="I44" s="8" t="n">
        <f aca="false">Pork!Q35</f>
        <v>-0.0150935533353544</v>
      </c>
      <c r="J44" s="8" t="n">
        <f aca="false">Pork!T35</f>
        <v>-0.0504254684467343</v>
      </c>
      <c r="K44" s="8" t="n">
        <f aca="false">INDEX(Pork!$G$45:$G$49,MATCH(Pork!B35,Pork!$A$45:$A$49,0))</f>
        <v>0</v>
      </c>
      <c r="L44" s="12" t="s">
        <v>72</v>
      </c>
      <c r="M44" s="13" t="s">
        <v>57</v>
      </c>
      <c r="N44" s="9" t="n">
        <f aca="false">Pork!U35</f>
        <v>1.36528851376354</v>
      </c>
      <c r="O44" s="2" t="str">
        <f aca="false">IF(F44&gt;=0.2,"primary product: displacement is a fifth or more of the replaced volume",IF(F44&gt;=0.05,"co-product: a twentieth to a fifth","by-product or quota-limited: under a twentieth; price falls toward the floor instead"))</f>
        <v>co-product: a twentieth to a fifth</v>
      </c>
    </row>
    <row r="45" customFormat="false" ht="15" hidden="false" customHeight="false" outlineLevel="0" collapsed="false">
      <c r="A45" s="5" t="s">
        <v>74</v>
      </c>
      <c r="B45" s="7" t="str">
        <f aca="false">Pork!A36</f>
        <v>Ham (mostly cured)</v>
      </c>
      <c r="C45" s="8" t="n">
        <f aca="false">Pork!I36</f>
        <v>0.223445858850177</v>
      </c>
      <c r="D45" s="9" t="n">
        <f aca="false">INDEX(Pork!$F$45:$F$49,MATCH(Pork!B36,Pork!$A$45:$A$49,0))</f>
        <v>-0.75</v>
      </c>
      <c r="E45" s="10" t="n">
        <f aca="false">Pork!L36</f>
        <v>0.0828105528387881</v>
      </c>
      <c r="F45" s="10" t="n">
        <f aca="false">Pork!M36</f>
        <v>0.168857887961494</v>
      </c>
      <c r="G45" s="10" t="n">
        <f aca="false">Pork!N36</f>
        <v>0.271410107429165</v>
      </c>
      <c r="H45" s="11" t="n">
        <f aca="false">1-F45</f>
        <v>0.831142112038506</v>
      </c>
      <c r="I45" s="8" t="n">
        <f aca="false">Pork!Q36</f>
        <v>-0.110818948271801</v>
      </c>
      <c r="J45" s="8" t="n">
        <f aca="false">Pork!T36</f>
        <v>-0.168857887961494</v>
      </c>
      <c r="K45" s="8" t="n">
        <f aca="false">INDEX(Pork!$G$45:$G$49,MATCH(Pork!B36,Pork!$A$45:$A$49,0))</f>
        <v>0</v>
      </c>
      <c r="L45" s="12" t="s">
        <v>77</v>
      </c>
      <c r="M45" s="13" t="s">
        <v>42</v>
      </c>
      <c r="N45" s="9" t="n">
        <f aca="false">Pork!U36</f>
        <v>0.894298280246618</v>
      </c>
      <c r="O45" s="2" t="str">
        <f aca="false">IF(F45&gt;=0.2,"primary product: displacement is a fifth or more of the replaced volume",IF(F45&gt;=0.05,"co-product: a twentieth to a fifth","by-product or quota-limited: under a twentieth; price falls toward the floor instead"))</f>
        <v>co-product: a twentieth to a fifth</v>
      </c>
    </row>
    <row r="46" customFormat="false" ht="23.85" hidden="false" customHeight="false" outlineLevel="0" collapsed="false">
      <c r="A46" s="5" t="s">
        <v>74</v>
      </c>
      <c r="B46" s="7" t="str">
        <f aca="false">Pork!A37</f>
        <v>Belly (bacon)</v>
      </c>
      <c r="C46" s="8" t="n">
        <f aca="false">Pork!I37</f>
        <v>0.16478730945641</v>
      </c>
      <c r="D46" s="9" t="n">
        <f aca="false">INDEX(Pork!$F$45:$F$49,MATCH(Pork!B37,Pork!$A$45:$A$49,0))</f>
        <v>-0.8</v>
      </c>
      <c r="E46" s="10" t="n">
        <f aca="false">Pork!L37</f>
        <v>0.0572543400465231</v>
      </c>
      <c r="F46" s="10" t="n">
        <f aca="false">Pork!M37</f>
        <v>0.116746557117014</v>
      </c>
      <c r="G46" s="10" t="n">
        <f aca="false">Pork!N37</f>
        <v>0.187650076591859</v>
      </c>
      <c r="H46" s="11" t="n">
        <f aca="false">1-F46</f>
        <v>0.883253442882986</v>
      </c>
      <c r="I46" s="8" t="n">
        <f aca="false">Pork!Q37</f>
        <v>-0.110406680360373</v>
      </c>
      <c r="J46" s="8" t="n">
        <f aca="false">Pork!T37</f>
        <v>-0.116746557117014</v>
      </c>
      <c r="K46" s="8" t="n">
        <f aca="false">INDEX(Pork!$G$45:$G$49,MATCH(Pork!B37,Pork!$A$45:$A$49,0))</f>
        <v>0</v>
      </c>
      <c r="L46" s="12" t="s">
        <v>78</v>
      </c>
      <c r="M46" s="13" t="s">
        <v>42</v>
      </c>
      <c r="N46" s="9" t="n">
        <f aca="false">Pork!U37</f>
        <v>0.933919090130962</v>
      </c>
      <c r="O46" s="2" t="str">
        <f aca="false">IF(F46&gt;=0.2,"primary product: displacement is a fifth or more of the replaced volume",IF(F46&gt;=0.05,"co-product: a twentieth to a fifth","by-product or quota-limited: under a twentieth; price falls toward the floor instead"))</f>
        <v>co-product: a twentieth to a fifth</v>
      </c>
    </row>
    <row r="47" customFormat="false" ht="23.85" hidden="false" customHeight="false" outlineLevel="0" collapsed="false">
      <c r="A47" s="5" t="s">
        <v>74</v>
      </c>
      <c r="B47" s="7" t="str">
        <f aca="false">Pork!A38</f>
        <v>Picnic, jowl, neck bones, trim -&gt; sausage, ground pork</v>
      </c>
      <c r="C47" s="8" t="n">
        <f aca="false">Pork!I38</f>
        <v>0.100139484875999</v>
      </c>
      <c r="D47" s="9" t="n">
        <f aca="false">INDEX(Pork!$F$45:$F$49,MATCH(Pork!B38,Pork!$A$45:$A$49,0))</f>
        <v>-1.2</v>
      </c>
      <c r="E47" s="10" t="n">
        <f aca="false">Pork!L38</f>
        <v>0.023195233249806</v>
      </c>
      <c r="F47" s="10" t="n">
        <f aca="false">Pork!M38</f>
        <v>0.047297089115699</v>
      </c>
      <c r="G47" s="10" t="n">
        <f aca="false">Pork!N38</f>
        <v>0.0760219625683458</v>
      </c>
      <c r="H47" s="11" t="n">
        <f aca="false">1-F47</f>
        <v>0.952702910884301</v>
      </c>
      <c r="I47" s="8" t="n">
        <f aca="false">Pork!Q38</f>
        <v>-0.0793919092403584</v>
      </c>
      <c r="J47" s="8" t="n">
        <f aca="false">Pork!T38</f>
        <v>-0.0369163126444559</v>
      </c>
      <c r="K47" s="8" t="n">
        <f aca="false">INDEX(Pork!$G$45:$G$49,MATCH(Pork!B38,Pork!$A$45:$A$49,0))</f>
        <v>0.3</v>
      </c>
      <c r="L47" s="12" t="s">
        <v>79</v>
      </c>
      <c r="M47" s="13" t="s">
        <v>45</v>
      </c>
      <c r="N47" s="9" t="n">
        <f aca="false">Pork!U38</f>
        <v>0.424508677332255</v>
      </c>
      <c r="O47" s="2" t="str">
        <f aca="false">IF(F47&gt;=0.2,"primary product: displacement is a fifth or more of the replaced volume",IF(F47&gt;=0.05,"co-product: a twentieth to a fifth","by-product or quota-limited: under a twentieth; price falls toward the floor instead"))</f>
        <v>by-product or quota-limited: under a twentieth; price falls toward the floor instead</v>
      </c>
    </row>
    <row r="48" customFormat="false" ht="23.85" hidden="false" customHeight="false" outlineLevel="0" collapsed="false">
      <c r="A48" s="5" t="s">
        <v>74</v>
      </c>
      <c r="B48" s="7" t="str">
        <f aca="false">Pork!A39</f>
        <v>Feet, tails (export, variety meats)</v>
      </c>
      <c r="C48" s="8" t="n">
        <f aca="false">Pork!I39</f>
        <v>0.0120251871862037</v>
      </c>
      <c r="D48" s="9" t="n">
        <f aca="false">INDEX(Pork!$F$45:$F$49,MATCH(Pork!B39,Pork!$A$45:$A$49,0))</f>
        <v>-2.5</v>
      </c>
      <c r="E48" s="10" t="n">
        <f aca="false">Pork!L39</f>
        <v>0.00133698481234393</v>
      </c>
      <c r="F48" s="10" t="n">
        <f aca="false">Pork!M39</f>
        <v>0.00272622780442598</v>
      </c>
      <c r="G48" s="10" t="n">
        <f aca="false">Pork!N39</f>
        <v>0.0043819438357796</v>
      </c>
      <c r="H48" s="11" t="n">
        <f aca="false">1-F48</f>
        <v>0.997273772195574</v>
      </c>
      <c r="I48" s="8" t="n">
        <f aca="false">Pork!Q39</f>
        <v>-0.00577487866246079</v>
      </c>
      <c r="J48" s="8" t="n">
        <f aca="false">Pork!T39</f>
        <v>-0.00272622780442598</v>
      </c>
      <c r="K48" s="8" t="n">
        <f aca="false">INDEX(Pork!$G$45:$G$49,MATCH(Pork!B39,Pork!$A$45:$A$49,0))</f>
        <v>0.4</v>
      </c>
      <c r="L48" s="12" t="s">
        <v>51</v>
      </c>
      <c r="M48" s="13" t="s">
        <v>51</v>
      </c>
      <c r="N48" s="9" t="n">
        <f aca="false">Pork!U39</f>
        <v>0.154366791757184</v>
      </c>
      <c r="O48" s="2" t="str">
        <f aca="false">IF(F48&gt;=0.2,"primary product: displacement is a fifth or more of the replaced volume",IF(F48&gt;=0.05,"co-product: a twentieth to a fifth","by-product or quota-limited: under a twentieth; price falls toward the floor instead"))</f>
        <v>by-product or quota-limited: under a twentieth; price falls toward the floor instead</v>
      </c>
    </row>
    <row r="49" customFormat="false" ht="23.85" hidden="false" customHeight="false" outlineLevel="0" collapsed="false">
      <c r="A49" s="5" t="s">
        <v>74</v>
      </c>
      <c r="B49" s="7" t="str">
        <f aca="false">Pork!A40</f>
        <v>Drop credit (lard, offal, meals, plasma)</v>
      </c>
      <c r="C49" s="8" t="n">
        <f aca="false">Pork!I40</f>
        <v>0.0697241995961239</v>
      </c>
      <c r="D49" s="9" t="n">
        <f aca="false">INDEX(Pork!$F$45:$F$49,MATCH(Pork!B40,Pork!$A$45:$A$49,0))</f>
        <v>-2.5</v>
      </c>
      <c r="E49" s="10" t="n">
        <f aca="false">Pork!L40</f>
        <v>0.00775207857219923</v>
      </c>
      <c r="F49" s="10" t="n">
        <f aca="false">Pork!M40</f>
        <v>0.0158071594759356</v>
      </c>
      <c r="G49" s="10" t="n">
        <f aca="false">Pork!N40</f>
        <v>0.0254072990211269</v>
      </c>
      <c r="H49" s="11" t="n">
        <f aca="false">1-F49</f>
        <v>0.984192840524064</v>
      </c>
      <c r="I49" s="8" t="n">
        <f aca="false">Pork!Q40</f>
        <v>-0.0334837858463247</v>
      </c>
      <c r="J49" s="8" t="n">
        <f aca="false">Pork!T40</f>
        <v>-0.0158071594759356</v>
      </c>
      <c r="K49" s="8" t="n">
        <f aca="false">INDEX(Pork!$G$45:$G$49,MATCH(Pork!B40,Pork!$A$45:$A$49,0))</f>
        <v>0.4</v>
      </c>
      <c r="L49" s="12" t="s">
        <v>80</v>
      </c>
      <c r="M49" s="13" t="s">
        <v>45</v>
      </c>
      <c r="N49" s="9" t="n">
        <f aca="false">Pork!U40</f>
        <v>4.42600465326197</v>
      </c>
      <c r="O49" s="2" t="str">
        <f aca="false">IF(F49&gt;=0.2,"primary product: displacement is a fifth or more of the replaced volume",IF(F49&gt;=0.05,"co-product: a twentieth to a fifth","by-product or quota-limited: under a twentieth; price falls toward the floor instead"))</f>
        <v>by-product or quota-limited: under a twentieth; price falls toward the floor instead</v>
      </c>
    </row>
    <row r="51" customFormat="false" ht="23.85" hidden="false" customHeight="false" outlineLevel="0" collapsed="false">
      <c r="A51" s="5" t="s">
        <v>81</v>
      </c>
      <c r="B51" s="7" t="str">
        <f aca="false">Pollock!A31</f>
        <v>Fillet blocks and fillets (fish fingers, portions)</v>
      </c>
      <c r="C51" s="8" t="n">
        <f aca="false">Pollock!I31</f>
        <v>0.46957396721678</v>
      </c>
      <c r="D51" s="9" t="n">
        <f aca="false">INDEX(Pollock!$F$42:$F$44,MATCH(Pollock!B31,Pollock!$A$42:$A$44,0))</f>
        <v>-1.1</v>
      </c>
      <c r="E51" s="10" t="n">
        <f aca="false">Pollock!L31</f>
        <v>0</v>
      </c>
      <c r="F51" s="10" t="n">
        <f aca="false">Pollock!M31</f>
        <v>0.020489986922835</v>
      </c>
      <c r="G51" s="10" t="n">
        <f aca="false">Pollock!N31</f>
        <v>0.511941787072305</v>
      </c>
      <c r="H51" s="11" t="n">
        <f aca="false">1-F51</f>
        <v>0.979510013077165</v>
      </c>
      <c r="I51" s="8" t="n">
        <f aca="false">Pollock!Q31</f>
        <v>-0.0510715926493232</v>
      </c>
      <c r="J51" s="8" t="n">
        <f aca="false">Pollock!T31</f>
        <v>-0.020489986922835</v>
      </c>
      <c r="K51" s="8" t="n">
        <f aca="false">INDEX(Pollock!$G$42:$G$44,MATCH(Pollock!B31,Pollock!$A$42:$A$44,0))</f>
        <v>0</v>
      </c>
      <c r="L51" s="12" t="s">
        <v>82</v>
      </c>
      <c r="M51" s="13" t="s">
        <v>45</v>
      </c>
      <c r="N51" s="9" t="n">
        <f aca="false">Pollock!U31</f>
        <v>0.174408817259846</v>
      </c>
      <c r="O51" s="2" t="str">
        <f aca="false">IF(F51&gt;=0.2,"primary product: displacement is a fifth or more of the replaced volume",IF(F51&gt;=0.05,"co-product: a twentieth to a fifth","by-product or quota-limited: under a twentieth; price falls toward the floor instead"))</f>
        <v>by-product or quota-limited: under a twentieth; price falls toward the floor instead</v>
      </c>
    </row>
    <row r="52" customFormat="false" ht="23.85" hidden="false" customHeight="false" outlineLevel="0" collapsed="false">
      <c r="A52" s="5" t="s">
        <v>81</v>
      </c>
      <c r="B52" s="7" t="str">
        <f aca="false">Pollock!A32</f>
        <v>H&amp;G (headed and gutted)</v>
      </c>
      <c r="C52" s="8" t="n">
        <f aca="false">Pollock!I32</f>
        <v>0.0496903669012466</v>
      </c>
      <c r="D52" s="9" t="n">
        <f aca="false">INDEX(Pollock!$F$42:$F$44,MATCH(Pollock!B32,Pollock!$A$42:$A$44,0))</f>
        <v>-1.1</v>
      </c>
      <c r="E52" s="10" t="n">
        <f aca="false">Pollock!L32</f>
        <v>0</v>
      </c>
      <c r="F52" s="10" t="n">
        <f aca="false">Pollock!M32</f>
        <v>0.00216825258442699</v>
      </c>
      <c r="G52" s="10" t="n">
        <f aca="false">Pollock!N32</f>
        <v>0.0541737340817254</v>
      </c>
      <c r="H52" s="11" t="n">
        <f aca="false">1-F52</f>
        <v>0.997831747415573</v>
      </c>
      <c r="I52" s="8" t="n">
        <f aca="false">Pollock!Q32</f>
        <v>-0.00540440133855273</v>
      </c>
      <c r="J52" s="8" t="n">
        <f aca="false">Pollock!T32</f>
        <v>-0.00216825258442699</v>
      </c>
      <c r="K52" s="8" t="n">
        <f aca="false">INDEX(Pollock!$G$42:$G$44,MATCH(Pollock!B32,Pollock!$A$42:$A$44,0))</f>
        <v>0</v>
      </c>
      <c r="L52" s="12" t="s">
        <v>51</v>
      </c>
      <c r="M52" s="13" t="s">
        <v>57</v>
      </c>
      <c r="N52" s="9" t="n">
        <f aca="false">Pollock!U32</f>
        <v>0.0775150298932647</v>
      </c>
      <c r="O52" s="2" t="str">
        <f aca="false">IF(F52&gt;=0.2,"primary product: displacement is a fifth or more of the replaced volume",IF(F52&gt;=0.05,"co-product: a twentieth to a fifth","by-product or quota-limited: under a twentieth; price falls toward the floor instead"))</f>
        <v>by-product or quota-limited: under a twentieth; price falls toward the floor instead</v>
      </c>
    </row>
    <row r="53" customFormat="false" ht="23.85" hidden="false" customHeight="false" outlineLevel="0" collapsed="false">
      <c r="A53" s="5" t="s">
        <v>81</v>
      </c>
      <c r="B53" s="7" t="str">
        <f aca="false">Pollock!A33</f>
        <v>Surimi (crab sticks, kamaboko)</v>
      </c>
      <c r="C53" s="8" t="n">
        <f aca="false">Pollock!I33</f>
        <v>0.264445921352572</v>
      </c>
      <c r="D53" s="9" t="n">
        <f aca="false">INDEX(Pollock!$F$42:$F$44,MATCH(Pollock!B33,Pollock!$A$42:$A$44,0))</f>
        <v>-1.1</v>
      </c>
      <c r="E53" s="10" t="n">
        <f aca="false">Pollock!L33</f>
        <v>0</v>
      </c>
      <c r="F53" s="10" t="n">
        <f aca="false">Pollock!M33</f>
        <v>0.0115391692227474</v>
      </c>
      <c r="G53" s="10" t="n">
        <f aca="false">Pollock!N33</f>
        <v>0.288305841066182</v>
      </c>
      <c r="H53" s="11" t="n">
        <f aca="false">1-F53</f>
        <v>0.988460830777253</v>
      </c>
      <c r="I53" s="8" t="n">
        <f aca="false">Pollock!Q33</f>
        <v>-0.0287615483736103</v>
      </c>
      <c r="J53" s="8" t="n">
        <f aca="false">Pollock!T33</f>
        <v>-0.0115391692227474</v>
      </c>
      <c r="K53" s="8" t="n">
        <f aca="false">INDEX(Pollock!$G$42:$G$44,MATCH(Pollock!B33,Pollock!$A$42:$A$44,0))</f>
        <v>0</v>
      </c>
      <c r="L53" s="12" t="s">
        <v>83</v>
      </c>
      <c r="M53" s="13" t="s">
        <v>45</v>
      </c>
      <c r="N53" s="9" t="n">
        <f aca="false">Pollock!U33</f>
        <v>0.0968937873665809</v>
      </c>
      <c r="O53" s="2" t="str">
        <f aca="false">IF(F53&gt;=0.2,"primary product: displacement is a fifth or more of the replaced volume",IF(F53&gt;=0.05,"co-product: a twentieth to a fifth","by-product or quota-limited: under a twentieth; price falls toward the floor instead"))</f>
        <v>by-product or quota-limited: under a twentieth; price falls toward the floor instead</v>
      </c>
    </row>
    <row r="54" customFormat="false" ht="23.85" hidden="false" customHeight="false" outlineLevel="0" collapsed="false">
      <c r="A54" s="5" t="s">
        <v>81</v>
      </c>
      <c r="B54" s="7" t="str">
        <f aca="false">Pollock!A34</f>
        <v>Mince</v>
      </c>
      <c r="C54" s="8" t="n">
        <f aca="false">Pollock!I34</f>
        <v>0.0227333428573203</v>
      </c>
      <c r="D54" s="9" t="n">
        <f aca="false">INDEX(Pollock!$F$42:$F$44,MATCH(Pollock!B34,Pollock!$A$42:$A$44,0))</f>
        <v>-1.1</v>
      </c>
      <c r="E54" s="10" t="n">
        <f aca="false">Pollock!L34</f>
        <v>0</v>
      </c>
      <c r="F54" s="10" t="n">
        <f aca="false">Pollock!M34</f>
        <v>0.000991975557375346</v>
      </c>
      <c r="G54" s="10" t="n">
        <f aca="false">Pollock!N34</f>
        <v>0.0247844833423894</v>
      </c>
      <c r="H54" s="11" t="n">
        <f aca="false">1-F54</f>
        <v>0.999008024442625</v>
      </c>
      <c r="I54" s="8" t="n">
        <f aca="false">Pollock!Q34</f>
        <v>-0.00247251361238787</v>
      </c>
      <c r="J54" s="8" t="n">
        <f aca="false">Pollock!T34</f>
        <v>-0.000991975557375346</v>
      </c>
      <c r="K54" s="8" t="n">
        <f aca="false">INDEX(Pollock!$G$42:$G$44,MATCH(Pollock!B34,Pollock!$A$42:$A$44,0))</f>
        <v>0</v>
      </c>
      <c r="L54" s="12" t="s">
        <v>84</v>
      </c>
      <c r="M54" s="13" t="s">
        <v>45</v>
      </c>
      <c r="N54" s="9" t="n">
        <f aca="false">Pollock!U34</f>
        <v>0.0581362724199485</v>
      </c>
      <c r="O54" s="2" t="str">
        <f aca="false">IF(F54&gt;=0.2,"primary product: displacement is a fifth or more of the replaced volume",IF(F54&gt;=0.05,"co-product: a twentieth to a fifth","by-product or quota-limited: under a twentieth; price falls toward the floor instead"))</f>
        <v>by-product or quota-limited: under a twentieth; price falls toward the floor instead</v>
      </c>
    </row>
    <row r="55" customFormat="false" ht="23.85" hidden="false" customHeight="false" outlineLevel="0" collapsed="false">
      <c r="A55" s="5" t="s">
        <v>81</v>
      </c>
      <c r="B55" s="7" t="str">
        <f aca="false">Pollock!A35</f>
        <v>Roe</v>
      </c>
      <c r="C55" s="8" t="n">
        <f aca="false">Pollock!I35</f>
        <v>0.0775169723659447</v>
      </c>
      <c r="D55" s="9" t="n">
        <f aca="false">INDEX(Pollock!$F$42:$F$44,MATCH(Pollock!B35,Pollock!$A$42:$A$44,0))</f>
        <v>-1</v>
      </c>
      <c r="E55" s="10" t="n">
        <f aca="false">Pollock!L35</f>
        <v>0</v>
      </c>
      <c r="F55" s="10" t="n">
        <f aca="false">Pollock!M35</f>
        <v>0.00372072143487671</v>
      </c>
      <c r="G55" s="10" t="n">
        <f aca="false">Pollock!N35</f>
        <v>0.0929621276842408</v>
      </c>
      <c r="H55" s="11" t="n">
        <f aca="false">1-F55</f>
        <v>0.996279278565123</v>
      </c>
      <c r="I55" s="8" t="n">
        <f aca="false">Pollock!Q35</f>
        <v>-0.0996279278565123</v>
      </c>
      <c r="J55" s="8" t="n">
        <f aca="false">Pollock!T35</f>
        <v>-0.00260951266789868</v>
      </c>
      <c r="K55" s="8" t="n">
        <f aca="false">INDEX(Pollock!$G$42:$G$44,MATCH(Pollock!B35,Pollock!$A$42:$A$44,0))</f>
        <v>0.3</v>
      </c>
      <c r="L55" s="12" t="s">
        <v>51</v>
      </c>
      <c r="M55" s="13" t="s">
        <v>57</v>
      </c>
      <c r="N55" s="9" t="n">
        <f aca="false">Pollock!U35</f>
        <v>0.255799598647774</v>
      </c>
      <c r="O55" s="2" t="str">
        <f aca="false">IF(F55&gt;=0.2,"primary product: displacement is a fifth or more of the replaced volume",IF(F55&gt;=0.05,"co-product: a twentieth to a fifth","by-product or quota-limited: under a twentieth; price falls toward the floor instead"))</f>
        <v>by-product or quota-limited: under a twentieth; price falls toward the floor instead</v>
      </c>
    </row>
    <row r="56" customFormat="false" ht="23.85" hidden="false" customHeight="false" outlineLevel="0" collapsed="false">
      <c r="A56" s="5" t="s">
        <v>81</v>
      </c>
      <c r="B56" s="7" t="str">
        <f aca="false">Pollock!A36</f>
        <v>Fishmeal</v>
      </c>
      <c r="C56" s="8" t="n">
        <f aca="false">Pollock!I36</f>
        <v>0.0734920526469437</v>
      </c>
      <c r="D56" s="9" t="n">
        <f aca="false">INDEX(Pollock!$F$42:$F$44,MATCH(Pollock!B36,Pollock!$A$42:$A$44,0))</f>
        <v>-5</v>
      </c>
      <c r="E56" s="10" t="n">
        <f aca="false">Pollock!L36</f>
        <v>0</v>
      </c>
      <c r="F56" s="10" t="n">
        <f aca="false">Pollock!M36</f>
        <v>0.000705506025920852</v>
      </c>
      <c r="G56" s="10" t="n">
        <f aca="false">Pollock!N36</f>
        <v>0.0176270495955118</v>
      </c>
      <c r="H56" s="11" t="n">
        <f aca="false">1-F56</f>
        <v>0.999294493974079</v>
      </c>
      <c r="I56" s="8" t="n">
        <f aca="false">Pollock!Q36</f>
        <v>-0.0126526279160944</v>
      </c>
      <c r="J56" s="8" t="n">
        <f aca="false">Pollock!T36</f>
        <v>-0.000705506025920852</v>
      </c>
      <c r="K56" s="8" t="n">
        <f aca="false">INDEX(Pollock!$G$42:$G$44,MATCH(Pollock!B36,Pollock!$A$42:$A$44,0))</f>
        <v>0</v>
      </c>
      <c r="L56" s="12" t="s">
        <v>85</v>
      </c>
      <c r="M56" s="13" t="s">
        <v>45</v>
      </c>
      <c r="N56" s="9" t="n">
        <f aca="false">Pollock!U36</f>
        <v>0.0144953105900405</v>
      </c>
      <c r="O56" s="2" t="str">
        <f aca="false">IF(F56&gt;=0.2,"primary product: displacement is a fifth or more of the replaced volume",IF(F56&gt;=0.05,"co-product: a twentieth to a fifth","by-product or quota-limited: under a twentieth; price falls toward the floor instead"))</f>
        <v>by-product or quota-limited: under a twentieth; price falls toward the floor instead</v>
      </c>
    </row>
    <row r="57" customFormat="false" ht="23.85" hidden="false" customHeight="false" outlineLevel="0" collapsed="false">
      <c r="A57" s="5" t="s">
        <v>81</v>
      </c>
      <c r="B57" s="7" t="str">
        <f aca="false">Pollock!A37</f>
        <v>Fish oil</v>
      </c>
      <c r="C57" s="8" t="n">
        <f aca="false">Pollock!I37</f>
        <v>0.0425473766591924</v>
      </c>
      <c r="D57" s="9" t="n">
        <f aca="false">INDEX(Pollock!$F$42:$F$44,MATCH(Pollock!B37,Pollock!$A$42:$A$44,0))</f>
        <v>-5</v>
      </c>
      <c r="E57" s="10" t="n">
        <f aca="false">Pollock!L37</f>
        <v>0</v>
      </c>
      <c r="F57" s="10" t="n">
        <f aca="false">Pollock!M37</f>
        <v>0.000408444580591433</v>
      </c>
      <c r="G57" s="10" t="n">
        <f aca="false">Pollock!N37</f>
        <v>0.010204977157645</v>
      </c>
      <c r="H57" s="11" t="n">
        <f aca="false">1-F57</f>
        <v>0.999591555419409</v>
      </c>
      <c r="I57" s="8" t="n">
        <f aca="false">Pollock!Q37</f>
        <v>-0.00732509307177539</v>
      </c>
      <c r="J57" s="8" t="n">
        <f aca="false">Pollock!T37</f>
        <v>-0.000408444580591433</v>
      </c>
      <c r="K57" s="8" t="n">
        <f aca="false">INDEX(Pollock!$G$42:$G$44,MATCH(Pollock!B37,Pollock!$A$42:$A$44,0))</f>
        <v>0</v>
      </c>
      <c r="L57" s="12" t="s">
        <v>86</v>
      </c>
      <c r="M57" s="13" t="s">
        <v>45</v>
      </c>
      <c r="N57" s="9" t="n">
        <f aca="false">Pollock!U37</f>
        <v>0.0213166332206478</v>
      </c>
      <c r="O57" s="2" t="str">
        <f aca="false">IF(F57&gt;=0.2,"primary product: displacement is a fifth or more of the replaced volume",IF(F57&gt;=0.05,"co-product: a twentieth to a fifth","by-product or quota-limited: under a twentieth; price falls toward the floor instead"))</f>
        <v>by-product or quota-limited: under a twentieth; price falls toward the floor instead</v>
      </c>
    </row>
    <row r="59" customFormat="false" ht="15" hidden="false" customHeight="false" outlineLevel="0" collapsed="false">
      <c r="A59" s="5" t="s">
        <v>87</v>
      </c>
      <c r="B59" s="7" t="str">
        <f aca="false">Salmon!A19</f>
        <v>Salmon HOG, fillets and portions</v>
      </c>
      <c r="C59" s="8" t="n">
        <f aca="false">Salmon!I19</f>
        <v>0.97012029491657</v>
      </c>
      <c r="D59" s="9" t="n">
        <f aca="false">INDEX(Salmon!$F$25:$F$26,MATCH(Salmon!B19,Salmon!$A$25:$A$26,0))</f>
        <v>-1</v>
      </c>
      <c r="E59" s="10" t="n">
        <f aca="false">Salmon!L19</f>
        <v>0.0883527513046756</v>
      </c>
      <c r="F59" s="10" t="n">
        <f aca="false">Salmon!M19</f>
        <v>0.43501587807955</v>
      </c>
      <c r="G59" s="10" t="n">
        <f aca="false">Salmon!N19</f>
        <v>0.989837666622674</v>
      </c>
      <c r="H59" s="11" t="n">
        <f aca="false">1-F59</f>
        <v>0.56498412192045</v>
      </c>
      <c r="I59" s="8" t="n">
        <f aca="false">Salmon!Q19</f>
        <v>-0.056498412192045</v>
      </c>
      <c r="J59" s="8" t="n">
        <f aca="false">Salmon!T19</f>
        <v>-0.43501587807955</v>
      </c>
      <c r="K59" s="8" t="n">
        <f aca="false">INDEX(Salmon!$G$25:$G$26,MATCH(Salmon!B19,Salmon!$A$25:$A$26,0))</f>
        <v>0</v>
      </c>
      <c r="L59" s="12" t="s">
        <v>88</v>
      </c>
      <c r="M59" s="13" t="s">
        <v>48</v>
      </c>
      <c r="N59" s="9" t="n">
        <f aca="false">Salmon!U19</f>
        <v>0.43501587807955</v>
      </c>
      <c r="O59" s="2" t="str">
        <f aca="false">IF(F59&gt;=0.2,"primary product: displacement is a fifth or more of the replaced volume",IF(F59&gt;=0.05,"co-product: a twentieth to a fifth","by-product or quota-limited: under a twentieth; price falls toward the floor instead"))</f>
        <v>primary product: displacement is a fifth or more of the replaced volume</v>
      </c>
    </row>
    <row r="60" customFormat="false" ht="23.85" hidden="false" customHeight="false" outlineLevel="0" collapsed="false">
      <c r="A60" s="5" t="s">
        <v>87</v>
      </c>
      <c r="B60" s="7" t="str">
        <f aca="false">Salmon!A20</f>
        <v>By-products (heads, frames, viscera, trimmings) -&gt; oil, meal, pet food</v>
      </c>
      <c r="C60" s="8" t="n">
        <f aca="false">Salmon!I20</f>
        <v>0.0298797050834303</v>
      </c>
      <c r="D60" s="9" t="n">
        <f aca="false">INDEX(Salmon!$F$25:$F$26,MATCH(Salmon!B20,Salmon!$A$25:$A$26,0))</f>
        <v>-3</v>
      </c>
      <c r="E60" s="10" t="n">
        <f aca="false">Salmon!L20</f>
        <v>0.000907088246728003</v>
      </c>
      <c r="F60" s="10" t="n">
        <f aca="false">Salmon!M20</f>
        <v>0.00446616301495005</v>
      </c>
      <c r="G60" s="10" t="n">
        <f aca="false">Salmon!N20</f>
        <v>0.0101623333773261</v>
      </c>
      <c r="H60" s="11" t="n">
        <f aca="false">1-F60</f>
        <v>0.99553383698505</v>
      </c>
      <c r="I60" s="8" t="n">
        <f aca="false">Salmon!Q20</f>
        <v>-0.033184461232835</v>
      </c>
      <c r="J60" s="8" t="n">
        <f aca="false">Salmon!T20</f>
        <v>-0.00434751482410771</v>
      </c>
      <c r="K60" s="8" t="n">
        <f aca="false">INDEX(Salmon!$G$25:$G$26,MATCH(Salmon!B20,Salmon!$A$25:$A$26,0))</f>
        <v>0.3</v>
      </c>
      <c r="L60" s="12" t="s">
        <v>89</v>
      </c>
      <c r="M60" s="13" t="s">
        <v>45</v>
      </c>
      <c r="N60" s="9" t="n">
        <f aca="false">Salmon!U20</f>
        <v>0.0135338273180304</v>
      </c>
      <c r="O60" s="2" t="str">
        <f aca="false">IF(F60&gt;=0.2,"primary product: displacement is a fifth or more of the replaced volume",IF(F60&gt;=0.05,"co-product: a twentieth to a fifth","by-product or quota-limited: under a twentieth; price falls toward the floor instead"))</f>
        <v>by-product or quota-limited: under a twentieth; price falls toward the floor instead</v>
      </c>
    </row>
    <row r="63" customFormat="false" ht="15" hidden="false" customHeight="false" outlineLevel="0" collapsed="false">
      <c r="A63" s="14" t="s">
        <v>90</v>
      </c>
    </row>
    <row r="64" customFormat="false" ht="39.55" hidden="false" customHeight="false" outlineLevel="0" collapsed="false">
      <c r="A64" s="6" t="s">
        <v>91</v>
      </c>
      <c r="E64" s="6" t="s">
        <v>92</v>
      </c>
      <c r="F64" s="6" t="s">
        <v>93</v>
      </c>
      <c r="G64" s="6" t="s">
        <v>94</v>
      </c>
      <c r="I64" s="6" t="s">
        <v>95</v>
      </c>
    </row>
    <row r="65" customFormat="false" ht="15" hidden="false" customHeight="false" outlineLevel="0" collapsed="false">
      <c r="A65" s="5" t="s">
        <v>40</v>
      </c>
      <c r="E65" s="10" t="n">
        <f aca="false">Dairy!B90</f>
        <v>0.152999086924516</v>
      </c>
      <c r="F65" s="10" t="n">
        <f aca="false">Dairy!B91</f>
        <v>0.575330441972756</v>
      </c>
      <c r="G65" s="15" t="n">
        <v>1</v>
      </c>
      <c r="I65" s="16" t="n">
        <v>0.56</v>
      </c>
    </row>
    <row r="66" customFormat="false" ht="15" hidden="false" customHeight="false" outlineLevel="0" collapsed="false">
      <c r="A66" s="5" t="s">
        <v>55</v>
      </c>
      <c r="E66" s="10" t="n">
        <f aca="false">Beef!B70</f>
        <v>0.134506910938848</v>
      </c>
      <c r="F66" s="10" t="n">
        <f aca="false">Beef!B71</f>
        <v>0.453210457532846</v>
      </c>
      <c r="G66" s="15" t="n">
        <v>1</v>
      </c>
      <c r="I66" s="16" t="n">
        <v>0.68</v>
      </c>
    </row>
    <row r="67" customFormat="false" ht="15" hidden="false" customHeight="false" outlineLevel="0" collapsed="false">
      <c r="A67" s="5" t="s">
        <v>64</v>
      </c>
      <c r="E67" s="10" t="n">
        <f aca="false">Eggs!B56</f>
        <v>0.0582282460728324</v>
      </c>
      <c r="F67" s="10" t="n">
        <f aca="false">Eggs!B57</f>
        <v>0.673303704084628</v>
      </c>
      <c r="G67" s="15" t="n">
        <v>1</v>
      </c>
      <c r="I67" s="16" t="n">
        <v>0.91</v>
      </c>
    </row>
    <row r="68" customFormat="false" ht="15" hidden="false" customHeight="false" outlineLevel="0" collapsed="false">
      <c r="A68" s="5" t="s">
        <v>69</v>
      </c>
      <c r="E68" s="10" t="n">
        <f aca="false">Broiler!B63</f>
        <v>0.0933666907224654</v>
      </c>
      <c r="F68" s="10" t="n">
        <f aca="false">Broiler!B64</f>
        <v>0.418899355592556</v>
      </c>
      <c r="G68" s="15" t="n">
        <v>1</v>
      </c>
      <c r="I68" s="16" t="n">
        <v>0.76</v>
      </c>
    </row>
    <row r="69" customFormat="false" ht="15" hidden="false" customHeight="false" outlineLevel="0" collapsed="false">
      <c r="A69" s="5" t="s">
        <v>74</v>
      </c>
      <c r="E69" s="10" t="n">
        <f aca="false">Pork!B62</f>
        <v>0.3051122658002</v>
      </c>
      <c r="F69" s="10" t="n">
        <f aca="false">Pork!B63</f>
        <v>0.622150330217766</v>
      </c>
      <c r="G69" s="15" t="n">
        <v>1</v>
      </c>
      <c r="I69" s="16" t="n">
        <v>0.74</v>
      </c>
    </row>
    <row r="70" customFormat="false" ht="15" hidden="false" customHeight="false" outlineLevel="0" collapsed="false">
      <c r="A70" s="5" t="s">
        <v>81</v>
      </c>
      <c r="E70" s="10" t="n">
        <f aca="false">Pollock!B57</f>
        <v>0</v>
      </c>
      <c r="F70" s="10" t="n">
        <f aca="false">Pollock!B58</f>
        <v>0.0400240563287737</v>
      </c>
      <c r="G70" s="15" t="n">
        <v>1</v>
      </c>
    </row>
    <row r="71" customFormat="false" ht="15" hidden="false" customHeight="false" outlineLevel="0" collapsed="false">
      <c r="A71" s="5" t="s">
        <v>87</v>
      </c>
      <c r="E71" s="10" t="n">
        <f aca="false">Salmon!B39</f>
        <v>0.0892598395514036</v>
      </c>
      <c r="F71" s="10" t="n">
        <f aca="false">Salmon!B40</f>
        <v>0.4394820410945</v>
      </c>
      <c r="G71" s="1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4" t="s">
        <v>96</v>
      </c>
    </row>
    <row r="3" customFormat="false" ht="15" hidden="false" customHeight="false" outlineLevel="0" collapsed="false">
      <c r="A3" s="14" t="s">
        <v>97</v>
      </c>
    </row>
    <row r="4" customFormat="false" ht="15" hidden="false" customHeight="false" outlineLevel="0" collapsed="false">
      <c r="A4" s="5" t="s">
        <v>98</v>
      </c>
      <c r="C4" s="17" t="n">
        <v>-0.1</v>
      </c>
    </row>
    <row r="6" customFormat="false" ht="15" hidden="false" customHeight="false" outlineLevel="0" collapsed="false">
      <c r="A6" s="14" t="s">
        <v>99</v>
      </c>
    </row>
    <row r="7" customFormat="false" ht="15" hidden="false" customHeight="false" outlineLevel="0" collapsed="false">
      <c r="A7" s="6" t="s">
        <v>91</v>
      </c>
      <c r="B7" s="6" t="s">
        <v>100</v>
      </c>
      <c r="C7" s="6" t="s">
        <v>101</v>
      </c>
      <c r="D7" s="6" t="s">
        <v>102</v>
      </c>
      <c r="E7" s="6" t="s">
        <v>103</v>
      </c>
    </row>
    <row r="8" customFormat="false" ht="23.85" hidden="false" customHeight="false" outlineLevel="0" collapsed="false">
      <c r="A8" s="5" t="s">
        <v>104</v>
      </c>
      <c r="B8" s="5" t="s">
        <v>40</v>
      </c>
      <c r="C8" s="16" t="n">
        <v>0.12</v>
      </c>
      <c r="D8" s="16" t="n">
        <v>0.9</v>
      </c>
      <c r="E8" s="2" t="s">
        <v>105</v>
      </c>
    </row>
    <row r="9" customFormat="false" ht="15" hidden="false" customHeight="false" outlineLevel="0" collapsed="false">
      <c r="A9" s="5" t="s">
        <v>106</v>
      </c>
      <c r="B9" s="5" t="s">
        <v>55</v>
      </c>
      <c r="C9" s="16" t="n">
        <v>0.15</v>
      </c>
      <c r="D9" s="16" t="n">
        <v>0.8</v>
      </c>
      <c r="E9" s="2" t="s">
        <v>107</v>
      </c>
    </row>
    <row r="10" customFormat="false" ht="15" hidden="false" customHeight="false" outlineLevel="0" collapsed="false">
      <c r="A10" s="5" t="s">
        <v>108</v>
      </c>
      <c r="B10" s="5" t="s">
        <v>64</v>
      </c>
      <c r="C10" s="16" t="n">
        <v>0.03</v>
      </c>
      <c r="D10" s="16" t="n">
        <v>1</v>
      </c>
      <c r="E10" s="2" t="s">
        <v>109</v>
      </c>
    </row>
    <row r="11" customFormat="false" ht="23.85" hidden="false" customHeight="false" outlineLevel="0" collapsed="false">
      <c r="A11" s="5" t="s">
        <v>69</v>
      </c>
      <c r="B11" s="5" t="s">
        <v>69</v>
      </c>
      <c r="C11" s="16" t="n">
        <v>0.1</v>
      </c>
      <c r="D11" s="16" t="n">
        <v>0.7</v>
      </c>
      <c r="E11" s="2" t="s">
        <v>110</v>
      </c>
    </row>
    <row r="12" customFormat="false" ht="15" hidden="false" customHeight="false" outlineLevel="0" collapsed="false">
      <c r="A12" s="5" t="s">
        <v>111</v>
      </c>
      <c r="B12" s="5" t="s">
        <v>74</v>
      </c>
      <c r="C12" s="16" t="n">
        <v>0.4</v>
      </c>
      <c r="D12" s="16" t="n">
        <v>1.5</v>
      </c>
      <c r="E12" s="2" t="s">
        <v>112</v>
      </c>
    </row>
    <row r="13" customFormat="false" ht="15" hidden="false" customHeight="false" outlineLevel="0" collapsed="false">
      <c r="A13" s="5" t="s">
        <v>113</v>
      </c>
      <c r="B13" s="5" t="s">
        <v>81</v>
      </c>
      <c r="C13" s="16" t="n">
        <v>0</v>
      </c>
      <c r="D13" s="16" t="n">
        <v>0.05</v>
      </c>
      <c r="E13" s="2" t="s">
        <v>114</v>
      </c>
    </row>
    <row r="14" customFormat="false" ht="15" hidden="false" customHeight="false" outlineLevel="0" collapsed="false">
      <c r="A14" s="5" t="s">
        <v>115</v>
      </c>
      <c r="B14" s="5" t="s">
        <v>87</v>
      </c>
      <c r="C14" s="16" t="n">
        <v>0.1</v>
      </c>
      <c r="D14" s="16" t="n">
        <v>0.8</v>
      </c>
      <c r="E14" s="2" t="s">
        <v>116</v>
      </c>
    </row>
    <row r="16" customFormat="false" ht="57.45" hidden="false" customHeight="false" outlineLevel="0" collapsed="false">
      <c r="A16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118</v>
      </c>
    </row>
    <row r="2" customFormat="false" ht="15" hidden="false" customHeight="false" outlineLevel="0" collapsed="false">
      <c r="A2" s="5" t="s">
        <v>119</v>
      </c>
    </row>
    <row r="3" customFormat="false" ht="15" hidden="false" customHeight="false" outlineLevel="0" collapsed="false">
      <c r="A3" s="5" t="s">
        <v>120</v>
      </c>
    </row>
    <row r="4" customFormat="false" ht="15" hidden="false" customHeight="false" outlineLevel="0" collapsed="false">
      <c r="A4" s="5" t="s">
        <v>121</v>
      </c>
    </row>
    <row r="5" customFormat="false" ht="15" hidden="false" customHeight="false" outlineLevel="0" collapsed="false">
      <c r="A5" s="5" t="s">
        <v>122</v>
      </c>
    </row>
    <row r="7" customFormat="false" ht="15" hidden="false" customHeight="false" outlineLevel="0" collapsed="false">
      <c r="A7" s="14" t="s">
        <v>123</v>
      </c>
      <c r="B7" s="10" t="n">
        <f aca="false">Assumptions!$C$8</f>
        <v>0.12</v>
      </c>
    </row>
    <row r="8" customFormat="false" ht="15" hidden="false" customHeight="false" outlineLevel="0" collapsed="false">
      <c r="A8" s="14" t="s">
        <v>124</v>
      </c>
      <c r="B8" s="10" t="n">
        <f aca="false">Assumptions!$D$8</f>
        <v>0.9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126</v>
      </c>
    </row>
    <row r="12" customFormat="false" ht="15" hidden="false" customHeight="false" outlineLevel="0" collapsed="false">
      <c r="A12" s="14" t="s">
        <v>127</v>
      </c>
      <c r="B12" s="19" t="n">
        <v>1</v>
      </c>
    </row>
    <row r="13" customFormat="false" ht="26.85" hidden="false" customHeight="false" outlineLevel="0" collapsed="false">
      <c r="A13" s="6" t="s">
        <v>128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133</v>
      </c>
    </row>
    <row r="14" customFormat="false" ht="15" hidden="false" customHeight="false" outlineLevel="0" collapsed="false">
      <c r="A14" s="5" t="s">
        <v>134</v>
      </c>
      <c r="B14" s="20" t="n">
        <f aca="false">INDEX(C14:D14,1,$B$12)</f>
        <v>0.19</v>
      </c>
      <c r="C14" s="21" t="n">
        <v>0.19</v>
      </c>
      <c r="D14" s="21" t="n">
        <v>0.19</v>
      </c>
      <c r="E14" s="5" t="s">
        <v>135</v>
      </c>
      <c r="F14" s="5" t="s">
        <v>136</v>
      </c>
    </row>
    <row r="15" customFormat="false" ht="15" hidden="false" customHeight="false" outlineLevel="0" collapsed="false">
      <c r="A15" s="5" t="s">
        <v>137</v>
      </c>
      <c r="B15" s="20" t="n">
        <f aca="false">INDEX(C15:D15,1,$B$12)</f>
        <v>0.6</v>
      </c>
      <c r="C15" s="21" t="n">
        <v>0.6</v>
      </c>
      <c r="D15" s="21" t="n">
        <v>0.6</v>
      </c>
      <c r="E15" s="5" t="s">
        <v>135</v>
      </c>
      <c r="F15" s="5" t="s">
        <v>138</v>
      </c>
    </row>
    <row r="16" customFormat="false" ht="15" hidden="false" customHeight="false" outlineLevel="0" collapsed="false">
      <c r="A16" s="5" t="s">
        <v>139</v>
      </c>
      <c r="B16" s="20" t="n">
        <f aca="false">INDEX(C16:D16,1,$B$12)</f>
        <v>0.13</v>
      </c>
      <c r="C16" s="21" t="n">
        <v>0.13</v>
      </c>
      <c r="D16" s="21" t="n">
        <v>0.13</v>
      </c>
      <c r="E16" s="5" t="s">
        <v>135</v>
      </c>
      <c r="F16" s="5" t="s">
        <v>140</v>
      </c>
    </row>
    <row r="17" customFormat="false" ht="15" hidden="false" customHeight="false" outlineLevel="0" collapsed="false">
      <c r="A17" s="5" t="s">
        <v>141</v>
      </c>
      <c r="B17" s="20" t="n">
        <f aca="false">INDEX(C17:D17,1,$B$12)</f>
        <v>0.08</v>
      </c>
      <c r="C17" s="21" t="n">
        <v>0.08</v>
      </c>
      <c r="D17" s="21" t="n">
        <v>0.08</v>
      </c>
      <c r="E17" s="5" t="s">
        <v>135</v>
      </c>
      <c r="F17" s="5" t="s">
        <v>142</v>
      </c>
    </row>
    <row r="18" customFormat="false" ht="15" hidden="false" customHeight="false" outlineLevel="0" collapsed="false">
      <c r="A18" s="5" t="s">
        <v>143</v>
      </c>
      <c r="B18" s="20" t="n">
        <f aca="false">INDEX(C18:D18,1,$B$12)</f>
        <v>10.6</v>
      </c>
      <c r="C18" s="21" t="n">
        <v>10.6</v>
      </c>
      <c r="D18" s="21" t="n">
        <v>10.6</v>
      </c>
      <c r="E18" s="5" t="s">
        <v>144</v>
      </c>
      <c r="F18" s="5" t="s">
        <v>145</v>
      </c>
    </row>
    <row r="19" customFormat="false" ht="15" hidden="false" customHeight="false" outlineLevel="0" collapsed="false">
      <c r="A19" s="5" t="s">
        <v>146</v>
      </c>
      <c r="B19" s="20" t="n">
        <f aca="false">INDEX(C19:D19,1,$B$12)</f>
        <v>6</v>
      </c>
      <c r="C19" s="21" t="n">
        <v>6</v>
      </c>
      <c r="D19" s="21" t="n">
        <v>5.9</v>
      </c>
      <c r="E19" s="5" t="s">
        <v>147</v>
      </c>
      <c r="F19" s="5" t="s">
        <v>148</v>
      </c>
    </row>
    <row r="20" customFormat="false" ht="15" hidden="false" customHeight="false" outlineLevel="0" collapsed="false">
      <c r="A20" s="5" t="s">
        <v>149</v>
      </c>
      <c r="B20" s="20" t="n">
        <f aca="false">INDEX(C20:D20,1,$B$12)</f>
        <v>0.13</v>
      </c>
      <c r="C20" s="21" t="n">
        <v>0.13</v>
      </c>
      <c r="D20" s="21" t="n">
        <v>0.13</v>
      </c>
      <c r="E20" s="5" t="s">
        <v>135</v>
      </c>
      <c r="F20" s="5" t="s">
        <v>150</v>
      </c>
    </row>
    <row r="21" customFormat="false" ht="15" hidden="false" customHeight="false" outlineLevel="0" collapsed="false">
      <c r="A21" s="5" t="s">
        <v>151</v>
      </c>
      <c r="B21" s="20" t="n">
        <f aca="false">INDEX(C21:D21,1,$B$12)</f>
        <v>0.5</v>
      </c>
      <c r="C21" s="21" t="n">
        <v>0.5</v>
      </c>
      <c r="D21" s="21" t="n">
        <v>0.5</v>
      </c>
      <c r="E21" s="5" t="s">
        <v>135</v>
      </c>
      <c r="F21" s="5" t="s">
        <v>152</v>
      </c>
    </row>
    <row r="22" customFormat="false" ht="15" hidden="false" customHeight="false" outlineLevel="0" collapsed="false">
      <c r="A22" s="5" t="s">
        <v>153</v>
      </c>
      <c r="B22" s="20" t="n">
        <f aca="false">INDEX(C22:D22,1,$B$12)</f>
        <v>0.61</v>
      </c>
      <c r="C22" s="21" t="n">
        <v>0.61</v>
      </c>
      <c r="D22" s="21" t="n">
        <v>0.61</v>
      </c>
      <c r="E22" s="5" t="s">
        <v>135</v>
      </c>
      <c r="F22" s="5" t="s">
        <v>154</v>
      </c>
    </row>
    <row r="23" customFormat="false" ht="15" hidden="false" customHeight="false" outlineLevel="0" collapsed="false">
      <c r="A23" s="5" t="s">
        <v>155</v>
      </c>
      <c r="B23" s="20" t="n">
        <f aca="false">INDEX(C23:D23,1,$B$12)</f>
        <v>0.1</v>
      </c>
      <c r="C23" s="21" t="n">
        <v>0.1</v>
      </c>
      <c r="D23" s="21" t="n">
        <v>0.1</v>
      </c>
      <c r="E23" s="5" t="s">
        <v>135</v>
      </c>
      <c r="F23" s="5" t="s">
        <v>156</v>
      </c>
    </row>
    <row r="24" customFormat="false" ht="15" hidden="false" customHeight="false" outlineLevel="0" collapsed="false">
      <c r="A24" s="5" t="s">
        <v>157</v>
      </c>
      <c r="B24" s="20" t="n">
        <f aca="false">INDEX(C24:D24,1,$B$12)</f>
        <v>0.15</v>
      </c>
      <c r="C24" s="21" t="n">
        <v>0.15</v>
      </c>
      <c r="D24" s="21" t="n">
        <v>0.15</v>
      </c>
      <c r="E24" s="5" t="s">
        <v>135</v>
      </c>
      <c r="F24" s="5" t="s">
        <v>158</v>
      </c>
    </row>
    <row r="25" customFormat="false" ht="15" hidden="false" customHeight="false" outlineLevel="0" collapsed="false">
      <c r="A25" s="5" t="s">
        <v>159</v>
      </c>
      <c r="B25" s="20" t="n">
        <f aca="false">INDEX(C25:D25,1,$B$12)</f>
        <v>0.25</v>
      </c>
      <c r="C25" s="21" t="n">
        <v>0.25</v>
      </c>
      <c r="D25" s="21" t="n">
        <v>0.25</v>
      </c>
      <c r="E25" s="5" t="s">
        <v>135</v>
      </c>
      <c r="F25" s="5" t="s">
        <v>160</v>
      </c>
    </row>
    <row r="26" customFormat="false" ht="15" hidden="false" customHeight="false" outlineLevel="0" collapsed="false">
      <c r="A26" s="5" t="s">
        <v>161</v>
      </c>
      <c r="B26" s="20" t="n">
        <f aca="false">INDEX(C26:D26,1,$B$12)</f>
        <v>18.88</v>
      </c>
      <c r="C26" s="21" t="n">
        <v>18.88</v>
      </c>
      <c r="D26" s="21" t="n">
        <v>17.6</v>
      </c>
      <c r="E26" s="5" t="s">
        <v>162</v>
      </c>
      <c r="F26" s="5" t="s">
        <v>163</v>
      </c>
    </row>
    <row r="27" customFormat="false" ht="15" hidden="false" customHeight="false" outlineLevel="0" collapsed="false">
      <c r="A27" s="5" t="s">
        <v>164</v>
      </c>
      <c r="B27" s="20" t="n">
        <f aca="false">INDEX(C27:D27,1,$B$12)</f>
        <v>17.6</v>
      </c>
      <c r="C27" s="21" t="n">
        <v>17.6</v>
      </c>
      <c r="D27" s="21" t="n">
        <v>16.9</v>
      </c>
      <c r="E27" s="5" t="s">
        <v>162</v>
      </c>
      <c r="F27" s="5" t="s">
        <v>165</v>
      </c>
    </row>
    <row r="28" customFormat="false" ht="15" hidden="false" customHeight="false" outlineLevel="0" collapsed="false">
      <c r="A28" s="5" t="s">
        <v>166</v>
      </c>
      <c r="B28" s="20" t="n">
        <f aca="false">INDEX(C28:D28,1,$B$12)</f>
        <v>1.5577</v>
      </c>
      <c r="C28" s="21" t="n">
        <v>1.5577</v>
      </c>
      <c r="D28" s="21" t="n">
        <v>1.75</v>
      </c>
      <c r="E28" s="5" t="s">
        <v>167</v>
      </c>
      <c r="F28" s="5" t="s">
        <v>168</v>
      </c>
    </row>
    <row r="29" customFormat="false" ht="15" hidden="false" customHeight="false" outlineLevel="0" collapsed="false">
      <c r="A29" s="5" t="s">
        <v>169</v>
      </c>
      <c r="B29" s="20" t="n">
        <f aca="false">INDEX(C29:D29,1,$B$12)</f>
        <v>1.4762</v>
      </c>
      <c r="C29" s="21" t="n">
        <v>1.4762</v>
      </c>
      <c r="D29" s="21" t="n">
        <v>2.3</v>
      </c>
      <c r="E29" s="5" t="s">
        <v>167</v>
      </c>
      <c r="F29" s="5" t="s">
        <v>165</v>
      </c>
    </row>
    <row r="30" customFormat="false" ht="15" hidden="false" customHeight="false" outlineLevel="0" collapsed="false">
      <c r="A30" s="5" t="s">
        <v>170</v>
      </c>
      <c r="B30" s="20" t="n">
        <f aca="false">INDEX(C30:D30,1,$B$12)</f>
        <v>1.5343</v>
      </c>
      <c r="C30" s="21" t="n">
        <v>1.5343</v>
      </c>
      <c r="D30" s="21" t="n">
        <v>1</v>
      </c>
      <c r="E30" s="5" t="s">
        <v>167</v>
      </c>
      <c r="F30" s="5" t="s">
        <v>165</v>
      </c>
    </row>
    <row r="31" customFormat="false" ht="15" hidden="false" customHeight="false" outlineLevel="0" collapsed="false">
      <c r="A31" s="5" t="s">
        <v>171</v>
      </c>
      <c r="B31" s="20" t="n">
        <f aca="false">INDEX(C31:D31,1,$B$12)</f>
        <v>9.5</v>
      </c>
      <c r="C31" s="21" t="n">
        <v>9.5</v>
      </c>
      <c r="D31" s="21" t="n">
        <v>3</v>
      </c>
      <c r="E31" s="5" t="s">
        <v>167</v>
      </c>
      <c r="F31" s="5" t="s">
        <v>172</v>
      </c>
    </row>
    <row r="32" customFormat="false" ht="15" hidden="false" customHeight="false" outlineLevel="0" collapsed="false">
      <c r="A32" s="5" t="s">
        <v>173</v>
      </c>
      <c r="B32" s="20" t="n">
        <f aca="false">INDEX(C32:D32,1,$B$12)</f>
        <v>14</v>
      </c>
      <c r="C32" s="21" t="n">
        <v>14</v>
      </c>
      <c r="D32" s="21" t="n">
        <v>5</v>
      </c>
      <c r="E32" s="5" t="s">
        <v>167</v>
      </c>
      <c r="F32" s="5" t="s">
        <v>174</v>
      </c>
    </row>
    <row r="33" customFormat="false" ht="15" hidden="false" customHeight="false" outlineLevel="0" collapsed="false">
      <c r="A33" s="5" t="s">
        <v>175</v>
      </c>
      <c r="B33" s="20" t="n">
        <f aca="false">INDEX(C33:D33,1,$B$12)</f>
        <v>0.6694</v>
      </c>
      <c r="C33" s="21" t="n">
        <v>0.6694</v>
      </c>
      <c r="D33" s="21" t="n">
        <v>0.35</v>
      </c>
      <c r="E33" s="5" t="s">
        <v>167</v>
      </c>
      <c r="F33" s="5" t="s">
        <v>176</v>
      </c>
    </row>
    <row r="34" customFormat="false" ht="15" hidden="false" customHeight="false" outlineLevel="0" collapsed="false">
      <c r="A34" s="5" t="s">
        <v>177</v>
      </c>
      <c r="B34" s="20" t="n">
        <f aca="false">INDEX(C34:D34,1,$B$12)</f>
        <v>0.7</v>
      </c>
      <c r="C34" s="21" t="n">
        <v>0.7</v>
      </c>
      <c r="D34" s="21" t="n">
        <v>0.35</v>
      </c>
      <c r="E34" s="5" t="s">
        <v>167</v>
      </c>
      <c r="F34" s="5" t="s">
        <v>178</v>
      </c>
    </row>
    <row r="35" customFormat="false" ht="15" hidden="false" customHeight="false" outlineLevel="0" collapsed="false">
      <c r="A35" s="5" t="s">
        <v>179</v>
      </c>
      <c r="B35" s="20" t="n">
        <f aca="false">INDEX(C35:D35,1,$B$12)</f>
        <v>0.36</v>
      </c>
      <c r="C35" s="21" t="n">
        <v>0.36</v>
      </c>
      <c r="D35" s="21" t="n">
        <v>0.2</v>
      </c>
      <c r="E35" s="5" t="s">
        <v>167</v>
      </c>
      <c r="F35" s="5" t="s">
        <v>180</v>
      </c>
    </row>
    <row r="36" customFormat="false" ht="15" hidden="false" customHeight="false" outlineLevel="0" collapsed="false">
      <c r="A36" s="5" t="s">
        <v>181</v>
      </c>
      <c r="B36" s="20" t="n">
        <f aca="false">INDEX(C36:D36,1,$B$12)</f>
        <v>0.2519</v>
      </c>
      <c r="C36" s="21" t="n">
        <v>0.2519</v>
      </c>
      <c r="D36" s="21" t="n">
        <v>0.2003</v>
      </c>
      <c r="E36" s="5" t="s">
        <v>167</v>
      </c>
      <c r="F36" s="5" t="s">
        <v>182</v>
      </c>
    </row>
    <row r="37" customFormat="false" ht="15" hidden="false" customHeight="false" outlineLevel="0" collapsed="false">
      <c r="A37" s="5" t="s">
        <v>183</v>
      </c>
      <c r="B37" s="20" t="n">
        <f aca="false">INDEX(C37:D37,1,$B$12)</f>
        <v>0.2668</v>
      </c>
      <c r="C37" s="21" t="n">
        <v>0.2668</v>
      </c>
      <c r="D37" s="21" t="n">
        <v>0.1991</v>
      </c>
      <c r="E37" s="5" t="s">
        <v>167</v>
      </c>
      <c r="F37" s="5" t="s">
        <v>184</v>
      </c>
    </row>
    <row r="38" customFormat="false" ht="15" hidden="false" customHeight="false" outlineLevel="0" collapsed="false">
      <c r="A38" s="5" t="s">
        <v>185</v>
      </c>
      <c r="B38" s="20" t="n">
        <f aca="false">INDEX(C38:D38,1,$B$12)</f>
        <v>0.27</v>
      </c>
      <c r="C38" s="21" t="n">
        <v>0.27</v>
      </c>
      <c r="D38" s="21" t="n">
        <v>0.2</v>
      </c>
      <c r="E38" s="5" t="s">
        <v>167</v>
      </c>
      <c r="F38" s="5" t="s">
        <v>186</v>
      </c>
    </row>
    <row r="39" customFormat="false" ht="15" hidden="false" customHeight="false" outlineLevel="0" collapsed="false">
      <c r="A39" s="5" t="s">
        <v>187</v>
      </c>
      <c r="B39" s="20" t="n">
        <f aca="false">INDEX(C39:D39,1,$B$12)</f>
        <v>1.5</v>
      </c>
      <c r="C39" s="21" t="n">
        <v>1.5</v>
      </c>
      <c r="D39" s="21" t="n">
        <v>1.2</v>
      </c>
      <c r="E39" s="5" t="s">
        <v>167</v>
      </c>
      <c r="F39" s="5" t="s">
        <v>188</v>
      </c>
    </row>
    <row r="40" customFormat="false" ht="15" hidden="false" customHeight="false" outlineLevel="0" collapsed="false">
      <c r="A40" s="5" t="s">
        <v>189</v>
      </c>
      <c r="B40" s="20" t="n">
        <f aca="false">INDEX(C40:D40,1,$B$12)</f>
        <v>2.5</v>
      </c>
      <c r="C40" s="21" t="n">
        <v>2.5</v>
      </c>
      <c r="D40" s="21" t="n">
        <v>2</v>
      </c>
      <c r="E40" s="5" t="s">
        <v>167</v>
      </c>
      <c r="F40" s="5" t="s">
        <v>186</v>
      </c>
    </row>
    <row r="41" customFormat="false" ht="15" hidden="false" customHeight="false" outlineLevel="0" collapsed="false">
      <c r="A41" s="5" t="s">
        <v>190</v>
      </c>
      <c r="B41" s="20" t="n">
        <f aca="false">INDEX(C41:D41,1,$B$12)</f>
        <v>0.1</v>
      </c>
      <c r="C41" s="21" t="n">
        <v>0.1</v>
      </c>
      <c r="D41" s="21" t="n">
        <v>0.1</v>
      </c>
      <c r="E41" s="5" t="s">
        <v>167</v>
      </c>
      <c r="F41" s="5" t="s">
        <v>186</v>
      </c>
    </row>
    <row r="42" customFormat="false" ht="15" hidden="false" customHeight="false" outlineLevel="0" collapsed="false">
      <c r="A42" s="5" t="s">
        <v>191</v>
      </c>
      <c r="B42" s="20" t="n">
        <f aca="false">INDEX(C42:D42,1,$B$12)</f>
        <v>0.078</v>
      </c>
      <c r="C42" s="21" t="n">
        <v>0.078</v>
      </c>
      <c r="D42" s="21" t="n">
        <v>0.07</v>
      </c>
      <c r="E42" s="5" t="s">
        <v>135</v>
      </c>
      <c r="F42" s="5" t="s">
        <v>192</v>
      </c>
    </row>
    <row r="43" customFormat="false" ht="15" hidden="false" customHeight="false" outlineLevel="0" collapsed="false">
      <c r="A43" s="5" t="s">
        <v>193</v>
      </c>
      <c r="B43" s="20" t="n">
        <f aca="false">INDEX(C43:D43,1,$B$12)</f>
        <v>0.6</v>
      </c>
      <c r="C43" s="21" t="n">
        <v>0.6</v>
      </c>
      <c r="D43" s="21" t="n">
        <v>0.6</v>
      </c>
      <c r="E43" s="5" t="s">
        <v>135</v>
      </c>
      <c r="F43" s="5" t="s">
        <v>194</v>
      </c>
    </row>
    <row r="45" customFormat="false" ht="15" hidden="false" customHeight="false" outlineLevel="0" collapsed="false">
      <c r="A45" s="14" t="s">
        <v>195</v>
      </c>
      <c r="B45" s="20" t="n">
        <f aca="false">SUM(H49:H58)</f>
        <v>18.9664397955</v>
      </c>
    </row>
    <row r="47" customFormat="false" ht="15" hidden="false" customHeight="false" outlineLevel="0" collapsed="false">
      <c r="A47" s="18" t="s">
        <v>196</v>
      </c>
    </row>
    <row r="48" customFormat="false" ht="72" hidden="false" customHeight="true" outlineLevel="0" collapsed="false">
      <c r="A48" s="6" t="s">
        <v>197</v>
      </c>
      <c r="B48" s="6" t="s">
        <v>198</v>
      </c>
      <c r="C48" s="6" t="s">
        <v>199</v>
      </c>
      <c r="D48" s="6" t="s">
        <v>200</v>
      </c>
      <c r="E48" s="6" t="s">
        <v>201</v>
      </c>
      <c r="F48" s="6" t="s">
        <v>202</v>
      </c>
      <c r="G48" s="6" t="s">
        <v>203</v>
      </c>
      <c r="H48" s="6" t="s">
        <v>204</v>
      </c>
      <c r="I48" s="6" t="s">
        <v>27</v>
      </c>
      <c r="J48" s="6" t="s">
        <v>205</v>
      </c>
      <c r="K48" s="6" t="s">
        <v>206</v>
      </c>
      <c r="L48" s="6" t="s">
        <v>29</v>
      </c>
      <c r="M48" s="6" t="s">
        <v>30</v>
      </c>
      <c r="N48" s="6" t="s">
        <v>207</v>
      </c>
      <c r="O48" s="6" t="s">
        <v>208</v>
      </c>
      <c r="P48" s="6" t="s">
        <v>209</v>
      </c>
      <c r="Q48" s="6" t="s">
        <v>210</v>
      </c>
      <c r="R48" s="6" t="s">
        <v>211</v>
      </c>
      <c r="S48" s="6" t="s">
        <v>212</v>
      </c>
      <c r="T48" s="6" t="s">
        <v>213</v>
      </c>
      <c r="U48" s="6" t="s">
        <v>214</v>
      </c>
      <c r="V48" s="6" t="s">
        <v>215</v>
      </c>
      <c r="W48" s="6" t="s">
        <v>133</v>
      </c>
    </row>
    <row r="49" customFormat="false" ht="15" hidden="false" customHeight="false" outlineLevel="0" collapsed="false">
      <c r="A49" s="2" t="s">
        <v>216</v>
      </c>
      <c r="B49" s="5" t="s">
        <v>217</v>
      </c>
      <c r="C49" s="5" t="s">
        <v>218</v>
      </c>
      <c r="D49" s="20" t="n">
        <f aca="false">$B$14</f>
        <v>0.19</v>
      </c>
      <c r="E49" s="5"/>
      <c r="F49" s="22" t="n">
        <f aca="false">$B$26</f>
        <v>18.88</v>
      </c>
      <c r="G49" s="5"/>
      <c r="H49" s="20" t="n">
        <f aca="false">D49*F49</f>
        <v>3.5872</v>
      </c>
      <c r="I49" s="11" t="n">
        <f aca="false">H49/$H$61</f>
        <v>0.174381614876647</v>
      </c>
      <c r="J49" s="23" t="n">
        <v>0.033</v>
      </c>
      <c r="K49" s="15" t="n">
        <f aca="false">IF(SUMIF($B$49:$B$60,B49,$H$49:$H$60)=0,0,H49/SUMIF($B$49:$B$60,B49,$H$49:$H$60))</f>
        <v>1</v>
      </c>
      <c r="L49" s="24" t="n">
        <f aca="false">K49*INDEX($L$65:$L$73,MATCH(B49,$A$65:$A$73,0))</f>
        <v>0.0269358924152557</v>
      </c>
      <c r="M49" s="24" t="n">
        <f aca="false">K49*INDEX($M$65:$M$73,MATCH(B49,$A$65:$A$73,0))</f>
        <v>0.10128844034112</v>
      </c>
      <c r="N49" s="24" t="n">
        <f aca="false">K49*INDEX($N$65:$N$73,MATCH(B49,$A$65:$A$73,0))</f>
        <v>0.176052635062749</v>
      </c>
      <c r="O49" s="24" t="n">
        <f aca="false">K49*INDEX($O$65:$O$73,MATCH(B49,$A$65:$A$73,0))</f>
        <v>0.160987934508665</v>
      </c>
      <c r="P49" s="24" t="n">
        <f aca="false">K49*INDEX($P$65:$P$73,MATCH(B49,$A$65:$A$73,0))</f>
        <v>0.0942773784080539</v>
      </c>
      <c r="Q49" s="11" t="n">
        <f aca="false">INDEX($Q$65:$Q$73,MATCH(B49,$A$65:$A$73,0))*K49*$B$9</f>
        <v>-0.013420291122324</v>
      </c>
      <c r="R49" s="25" t="n">
        <f aca="false">INDEX($R$65:$R$73,MATCH(B49,$A$65:$A$73,0))*K49*$B$9</f>
        <v>-0.0112542711490133</v>
      </c>
      <c r="S49" s="11" t="str">
        <f aca="false">IF(INDEX($S$65:$S$73,MATCH(B49,$A$65:$A$73,0))="","no external floor",INDEX($S$65:$S$73,MATCH(B49,$A$65:$A$73,0))/K49)</f>
        <v>no external floor</v>
      </c>
      <c r="T49" s="25" t="n">
        <f aca="false">INDEX($M$65:$M$73,MATCH(B49,$A$65:$A$73,0))*IF(INDEX($S$65:$S$73,MATCH(B49,$A$65:$A$73,0))="",-K49,MAX(-K49,INDEX($S$65:$S$73,MATCH(B49,$A$65:$A$73,0))))</f>
        <v>-0.10128844034112</v>
      </c>
      <c r="U49" s="22" t="n">
        <f aca="false">IF(D49=0,"",M49/D49*100)</f>
        <v>53.3097054426947</v>
      </c>
      <c r="V49" s="22" t="n">
        <f aca="false">IF(OR(J49="",J49=0),"",U49/J49)</f>
        <v>1615.4456194756</v>
      </c>
      <c r="W49" s="2" t="s">
        <v>219</v>
      </c>
    </row>
    <row r="50" customFormat="false" ht="15" hidden="false" customHeight="false" outlineLevel="0" collapsed="false">
      <c r="A50" s="2" t="s">
        <v>220</v>
      </c>
      <c r="B50" s="5" t="s">
        <v>221</v>
      </c>
      <c r="C50" s="5" t="s">
        <v>222</v>
      </c>
      <c r="D50" s="20" t="n">
        <f aca="false">$B$17</f>
        <v>0.08</v>
      </c>
      <c r="E50" s="5"/>
      <c r="F50" s="22" t="n">
        <f aca="false">$B$27</f>
        <v>17.6</v>
      </c>
      <c r="G50" s="5"/>
      <c r="H50" s="20" t="n">
        <f aca="false">D50*F50</f>
        <v>1.408</v>
      </c>
      <c r="I50" s="11" t="n">
        <f aca="false">H50/$H$61</f>
        <v>0.0684459505314227</v>
      </c>
      <c r="J50" s="23" t="n">
        <v>0.04</v>
      </c>
      <c r="K50" s="15" t="n">
        <f aca="false">IF(SUMIF($B$49:$B$60,B50,$H$49:$H$60)=0,0,H50/SUMIF($B$49:$B$60,B50,$H$49:$H$60))</f>
        <v>1</v>
      </c>
      <c r="L50" s="24" t="n">
        <f aca="false">K50*INDEX($L$65:$L$73,MATCH(B50,$A$65:$A$73,0))</f>
        <v>0.0113414283853708</v>
      </c>
      <c r="M50" s="24" t="n">
        <f aca="false">K50*INDEX($M$65:$M$73,MATCH(B50,$A$65:$A$73,0))</f>
        <v>0.0426477643541558</v>
      </c>
      <c r="N50" s="24" t="n">
        <f aca="false">K50*INDEX($N$65:$N$73,MATCH(B50,$A$65:$A$73,0))</f>
        <v>0.0741274252895787</v>
      </c>
      <c r="O50" s="24" t="n">
        <f aca="false">K50*INDEX($O$65:$O$73,MATCH(B50,$A$65:$A$73,0))</f>
        <v>0.0280839295009664</v>
      </c>
      <c r="P50" s="24" t="n">
        <f aca="false">K50*INDEX($P$65:$P$73,MATCH(B50,$A$65:$A$73,0))</f>
        <v>0.0370045017837143</v>
      </c>
      <c r="Q50" s="11" t="n">
        <f aca="false">INDEX($Q$65:$Q$73,MATCH(B50,$A$65:$A$73,0))*K50*$B$9</f>
        <v>-0.00565064889361009</v>
      </c>
      <c r="R50" s="25" t="n">
        <f aca="false">INDEX($R$65:$R$73,MATCH(B50,$A$65:$A$73,0))*K50*$B$9</f>
        <v>-0.00473864048379509</v>
      </c>
      <c r="S50" s="11" t="str">
        <f aca="false">IF(INDEX($S$65:$S$73,MATCH(B50,$A$65:$A$73,0))="","no external floor",INDEX($S$65:$S$73,MATCH(B50,$A$65:$A$73,0))/K50)</f>
        <v>no external floor</v>
      </c>
      <c r="T50" s="25" t="n">
        <f aca="false">INDEX($M$65:$M$73,MATCH(B50,$A$65:$A$73,0))*IF(INDEX($S$65:$S$73,MATCH(B50,$A$65:$A$73,0))="",-K50,MAX(-K50,INDEX($S$65:$S$73,MATCH(B50,$A$65:$A$73,0))))</f>
        <v>-0.0426477643541558</v>
      </c>
      <c r="U50" s="22" t="n">
        <f aca="false">IF(D50=0,"",M50/D50*100)</f>
        <v>53.3097054426947</v>
      </c>
      <c r="V50" s="22" t="n">
        <f aca="false">IF(OR(J50="",J50=0),"",U50/J50)</f>
        <v>1332.74263606737</v>
      </c>
      <c r="W50" s="2" t="s">
        <v>223</v>
      </c>
    </row>
    <row r="51" customFormat="false" ht="15" hidden="false" customHeight="false" outlineLevel="0" collapsed="false">
      <c r="A51" s="2" t="s">
        <v>224</v>
      </c>
      <c r="B51" s="5" t="s">
        <v>225</v>
      </c>
      <c r="C51" s="5" t="s">
        <v>226</v>
      </c>
      <c r="D51" s="20" t="n">
        <f aca="false">$B$16</f>
        <v>0.13</v>
      </c>
      <c r="E51" s="5"/>
      <c r="F51" s="22" t="n">
        <f aca="false">3.5*$B$29</f>
        <v>5.1667</v>
      </c>
      <c r="G51" s="5"/>
      <c r="H51" s="20" t="n">
        <f aca="false">D51*F51</f>
        <v>0.671671</v>
      </c>
      <c r="I51" s="11" t="n">
        <f aca="false">H51/$H$61</f>
        <v>0.0326513920734313</v>
      </c>
      <c r="J51" s="23" t="n">
        <v>0.005</v>
      </c>
      <c r="K51" s="15" t="n">
        <f aca="false">IF(SUMIF($B$49:$B$60,B51,$H$49:$H$60)=0,0,H51/SUMIF($B$49:$B$60,B51,$H$49:$H$60))</f>
        <v>1</v>
      </c>
      <c r="L51" s="24" t="n">
        <f aca="false">K51*INDEX($L$65:$L$73,MATCH(B51,$A$65:$A$73,0))</f>
        <v>0.00709101875338255</v>
      </c>
      <c r="M51" s="24" t="n">
        <f aca="false">K51*INDEX($M$65:$M$73,MATCH(B51,$A$65:$A$73,0))</f>
        <v>0.0266647274531347</v>
      </c>
      <c r="N51" s="24" t="n">
        <f aca="false">K51*INDEX($N$65:$N$73,MATCH(B51,$A$65:$A$73,0))</f>
        <v>0.0463468043889764</v>
      </c>
      <c r="O51" s="24" t="n">
        <f aca="false">K51*INDEX($O$65:$O$73,MATCH(B51,$A$65:$A$73,0))</f>
        <v>0.0200956971006857</v>
      </c>
      <c r="P51" s="24" t="n">
        <f aca="false">K51*INDEX($P$65:$P$73,MATCH(B51,$A$65:$A$73,0))</f>
        <v>0.0176525928391826</v>
      </c>
      <c r="Q51" s="11" t="n">
        <f aca="false">INDEX($Q$65:$Q$73,MATCH(B51,$A$65:$A$73,0))*K51*$B$9</f>
        <v>-0.107522404119661</v>
      </c>
      <c r="R51" s="25" t="n">
        <f aca="false">INDEX($R$65:$R$73,MATCH(B51,$A$65:$A$73,0))*K51*$B$9</f>
        <v>-0.00296274749479274</v>
      </c>
      <c r="S51" s="11" t="str">
        <f aca="false">IF(INDEX($S$65:$S$73,MATCH(B51,$A$65:$A$73,0))="","no external floor",INDEX($S$65:$S$73,MATCH(B51,$A$65:$A$73,0))/K51)</f>
        <v>no external floor</v>
      </c>
      <c r="T51" s="25" t="n">
        <f aca="false">INDEX($M$65:$M$73,MATCH(B51,$A$65:$A$73,0))*IF(INDEX($S$65:$S$73,MATCH(B51,$A$65:$A$73,0))="",-K51,MAX(-K51,INDEX($S$65:$S$73,MATCH(B51,$A$65:$A$73,0))))</f>
        <v>-0.0266647274531347</v>
      </c>
      <c r="U51" s="22" t="n">
        <f aca="false">IF(D51=0,"",M51/D51*100)</f>
        <v>20.5113288101036</v>
      </c>
      <c r="V51" s="22" t="n">
        <f aca="false">IF(OR(J51="",J51=0),"",U51/J51)</f>
        <v>4102.26576202072</v>
      </c>
      <c r="W51" s="2" t="s">
        <v>227</v>
      </c>
    </row>
    <row r="52" customFormat="false" ht="15" hidden="false" customHeight="false" outlineLevel="0" collapsed="false">
      <c r="A52" s="2" t="s">
        <v>228</v>
      </c>
      <c r="B52" s="5" t="s">
        <v>229</v>
      </c>
      <c r="C52" s="5" t="s">
        <v>226</v>
      </c>
      <c r="D52" s="20" t="n">
        <f aca="false">$B$16</f>
        <v>0.13</v>
      </c>
      <c r="E52" s="5"/>
      <c r="F52" s="22" t="n">
        <f aca="false">9.3*0.965*$B$30</f>
        <v>13.76957535</v>
      </c>
      <c r="G52" s="5"/>
      <c r="H52" s="20" t="n">
        <f aca="false">D52*F52</f>
        <v>1.7900447955</v>
      </c>
      <c r="I52" s="11" t="n">
        <f aca="false">H52/$H$61</f>
        <v>0.0870179811944771</v>
      </c>
      <c r="J52" s="23" t="n">
        <v>0.36</v>
      </c>
      <c r="K52" s="15" t="n">
        <f aca="false">IF(SUMIF($B$49:$B$60,B52,$H$49:$H$60)=0,0,H52/SUMIF($B$49:$B$60,B52,$H$49:$H$60))</f>
        <v>1</v>
      </c>
      <c r="L52" s="24" t="n">
        <f aca="false">K52*INDEX($L$65:$L$73,MATCH(B52,$A$65:$A$73,0))</f>
        <v>0.011338802372845</v>
      </c>
      <c r="M52" s="24" t="n">
        <f aca="false">K52*INDEX($M$65:$M$73,MATCH(B52,$A$65:$A$73,0))</f>
        <v>0.0426378896223684</v>
      </c>
      <c r="N52" s="24" t="n">
        <f aca="false">K52*INDEX($N$65:$N$73,MATCH(B52,$A$65:$A$73,0))</f>
        <v>0.0741102617065889</v>
      </c>
      <c r="O52" s="24" t="n">
        <f aca="false">K52*INDEX($O$65:$O$73,MATCH(B52,$A$65:$A$73,0))</f>
        <v>0.0321337660911609</v>
      </c>
      <c r="P52" s="24" t="n">
        <f aca="false">K52*INDEX($P$65:$P$73,MATCH(B52,$A$65:$A$73,0))</f>
        <v>0.0470452527187559</v>
      </c>
      <c r="Q52" s="11" t="n">
        <f aca="false">INDEX($Q$65:$Q$73,MATCH(B52,$A$65:$A$73,0))*K52*$B$9</f>
        <v>-0.0432556764127927</v>
      </c>
      <c r="R52" s="25" t="n">
        <f aca="false">INDEX($R$65:$R$73,MATCH(B52,$A$65:$A$73,0))*K52*$B$9</f>
        <v>-0.00473754329137427</v>
      </c>
      <c r="S52" s="11" t="n">
        <f aca="false">IF(INDEX($S$65:$S$73,MATCH(B52,$A$65:$A$73,0))="","no external floor",INDEX($S$65:$S$73,MATCH(B52,$A$65:$A$73,0))/K52)</f>
        <v>-0.693011414609194</v>
      </c>
      <c r="T52" s="25" t="n">
        <f aca="false">INDEX($M$65:$M$73,MATCH(B52,$A$65:$A$73,0))*IF(INDEX($S$65:$S$73,MATCH(B52,$A$65:$A$73,0))="",-K52,MAX(-K52,INDEX($S$65:$S$73,MATCH(B52,$A$65:$A$73,0))))</f>
        <v>-0.0295485442031482</v>
      </c>
      <c r="U52" s="22" t="n">
        <f aca="false">IF(D52=0,"",M52/D52*100)</f>
        <v>32.7983766325911</v>
      </c>
      <c r="V52" s="22" t="n">
        <f aca="false">IF(OR(J52="",J52=0),"",U52/J52)</f>
        <v>91.1066017571975</v>
      </c>
      <c r="W52" s="2" t="s">
        <v>230</v>
      </c>
    </row>
    <row r="53" customFormat="false" ht="15" hidden="false" customHeight="false" outlineLevel="0" collapsed="false">
      <c r="A53" s="2" t="s">
        <v>231</v>
      </c>
      <c r="B53" s="5" t="s">
        <v>232</v>
      </c>
      <c r="C53" s="5" t="s">
        <v>233</v>
      </c>
      <c r="D53" s="20" t="n">
        <f aca="false">$B$15*$B$18</f>
        <v>6.36</v>
      </c>
      <c r="E53" s="5"/>
      <c r="F53" s="22" t="n">
        <f aca="false">$B$28-$B$36</f>
        <v>1.3058</v>
      </c>
      <c r="G53" s="5"/>
      <c r="H53" s="20" t="n">
        <f aca="false">D53*F53</f>
        <v>8.304888</v>
      </c>
      <c r="I53" s="11" t="n">
        <f aca="false">H53/$H$61</f>
        <v>0.403718716773442</v>
      </c>
      <c r="J53" s="23" t="n">
        <v>0.25</v>
      </c>
      <c r="K53" s="15" t="n">
        <f aca="false">IF(SUMIF($B$49:$B$60,B53,$H$49:$H$60)=0,0,H53/SUMIF($B$49:$B$60,B53,$H$49:$H$60))</f>
        <v>1</v>
      </c>
      <c r="L53" s="24" t="n">
        <f aca="false">K53*INDEX($L$65:$L$73,MATCH(B53,$A$65:$A$73,0))</f>
        <v>0.0749604371618722</v>
      </c>
      <c r="M53" s="24" t="n">
        <f aca="false">K53*INDEX($M$65:$M$73,MATCH(B53,$A$65:$A$73,0))</f>
        <v>0.28187763933577</v>
      </c>
      <c r="N53" s="24" t="n">
        <f aca="false">K53*INDEX($N$65:$N$73,MATCH(B53,$A$65:$A$73,0))</f>
        <v>0.489940421663135</v>
      </c>
      <c r="O53" s="24" t="n">
        <f aca="false">K53*INDEX($O$65:$O$73,MATCH(B53,$A$65:$A$73,0))</f>
        <v>0.271062112854959</v>
      </c>
      <c r="P53" s="24" t="n">
        <f aca="false">K53*INDEX($P$65:$P$73,MATCH(B53,$A$65:$A$73,0))</f>
        <v>0.218265797449963</v>
      </c>
      <c r="Q53" s="11" t="n">
        <f aca="false">INDEX($Q$65:$Q$73,MATCH(B53,$A$65:$A$73,0))*K53*$B$9</f>
        <v>-0.0672025225141256</v>
      </c>
      <c r="R53" s="25" t="n">
        <f aca="false">INDEX($R$65:$R$73,MATCH(B53,$A$65:$A$73,0))*K53*$B$9</f>
        <v>-0.0313197377039745</v>
      </c>
      <c r="S53" s="11" t="str">
        <f aca="false">IF(INDEX($S$65:$S$73,MATCH(B53,$A$65:$A$73,0))="","no external floor",INDEX($S$65:$S$73,MATCH(B53,$A$65:$A$73,0))/K53)</f>
        <v>no external floor</v>
      </c>
      <c r="T53" s="25" t="n">
        <f aca="false">INDEX($M$65:$M$73,MATCH(B53,$A$65:$A$73,0))*IF(INDEX($S$65:$S$73,MATCH(B53,$A$65:$A$73,0))="",-K53,MAX(-K53,INDEX($S$65:$S$73,MATCH(B53,$A$65:$A$73,0))))</f>
        <v>-0.28187763933577</v>
      </c>
      <c r="U53" s="22" t="n">
        <f aca="false">IF(D53=0,"",M53/D53*100)</f>
        <v>4.43203835433601</v>
      </c>
      <c r="V53" s="22" t="n">
        <f aca="false">IF(OR(J53="",J53=0),"",U53/J53)</f>
        <v>17.728153417344</v>
      </c>
      <c r="W53" s="2" t="s">
        <v>234</v>
      </c>
    </row>
    <row r="54" customFormat="false" ht="15" hidden="false" customHeight="false" outlineLevel="0" collapsed="false">
      <c r="A54" s="2" t="s">
        <v>235</v>
      </c>
      <c r="B54" s="5" t="s">
        <v>236</v>
      </c>
      <c r="C54" s="5" t="s">
        <v>233</v>
      </c>
      <c r="D54" s="20" t="n">
        <f aca="false">$B$15*$B$19*$B$20*$B$21*$B$22/0.8</f>
        <v>0.178425</v>
      </c>
      <c r="E54" s="5"/>
      <c r="F54" s="22" t="n">
        <f aca="false">$B$31-$B$39</f>
        <v>8</v>
      </c>
      <c r="G54" s="5"/>
      <c r="H54" s="20" t="n">
        <f aca="false">D54*F54</f>
        <v>1.4274</v>
      </c>
      <c r="I54" s="11" t="n">
        <f aca="false">H54/$H$61</f>
        <v>0.0693890268384608</v>
      </c>
      <c r="J54" s="23" t="n">
        <v>0.8</v>
      </c>
      <c r="K54" s="15" t="n">
        <f aca="false">IF(SUMIF($B$49:$B$60,B54,$H$49:$H$60)=0,0,H54/SUMIF($B$49:$B$60,B54,$H$49:$H$60))</f>
        <v>0.550375939849624</v>
      </c>
      <c r="L54" s="24" t="n">
        <f aca="false">K54*INDEX($L$65:$L$73,MATCH(B54,$A$65:$A$73,0))</f>
        <v>0.00472406052938711</v>
      </c>
      <c r="M54" s="24" t="n">
        <f aca="false">K54*INDEX($M$65:$M$73,MATCH(B54,$A$65:$A$73,0))</f>
        <v>0.0177641310605941</v>
      </c>
      <c r="N54" s="24" t="n">
        <f aca="false">K54*INDEX($N$65:$N$73,MATCH(B54,$A$65:$A$73,0))</f>
        <v>0.030876396874955</v>
      </c>
      <c r="O54" s="24" t="n">
        <f aca="false">K54*INDEX($O$65:$O$73,MATCH(B54,$A$65:$A$73,0))</f>
        <v>0.0170825288223066</v>
      </c>
      <c r="P54" s="24" t="n">
        <f aca="false">K54*INDEX($P$65:$P$73,MATCH(B54,$A$65:$A$73,0))</f>
        <v>0.0375143649474956</v>
      </c>
      <c r="Q54" s="11" t="n">
        <f aca="false">INDEX($Q$65:$Q$73,MATCH(B54,$A$65:$A$73,0))*K54*$B$9</f>
        <v>-0.0340432369276969</v>
      </c>
      <c r="R54" s="25" t="n">
        <f aca="false">INDEX($R$65:$R$73,MATCH(B54,$A$65:$A$73,0))*K54*$B$9</f>
        <v>-0.00197379234006601</v>
      </c>
      <c r="S54" s="11" t="n">
        <f aca="false">IF(INDEX($S$65:$S$73,MATCH(B54,$A$65:$A$73,0))="","no external floor",INDEX($S$65:$S$73,MATCH(B54,$A$65:$A$73,0))/K54)</f>
        <v>-1.79770979116661</v>
      </c>
      <c r="T54" s="25" t="n">
        <f aca="false">INDEX($M$65:$M$73,MATCH(B54,$A$65:$A$73,0))*IF(INDEX($S$65:$S$73,MATCH(B54,$A$65:$A$73,0))="",-K54,MAX(-K54,INDEX($S$65:$S$73,MATCH(B54,$A$65:$A$73,0))))</f>
        <v>-0.0177641310605941</v>
      </c>
      <c r="U54" s="22" t="n">
        <f aca="false">IF(D54=0,"",M54/D54*100)</f>
        <v>9.95607737738216</v>
      </c>
      <c r="V54" s="22" t="n">
        <f aca="false">IF(OR(J54="",J54=0),"",U54/J54)</f>
        <v>12.4450967217277</v>
      </c>
      <c r="W54" s="2" t="s">
        <v>237</v>
      </c>
    </row>
    <row r="55" customFormat="false" ht="15" hidden="false" customHeight="false" outlineLevel="0" collapsed="false">
      <c r="A55" s="2" t="s">
        <v>238</v>
      </c>
      <c r="B55" s="5" t="s">
        <v>236</v>
      </c>
      <c r="C55" s="5" t="s">
        <v>233</v>
      </c>
      <c r="D55" s="20" t="n">
        <f aca="false">$B$15*$B$19*$B$20*$B$21*(1-$B$22)/0.9</f>
        <v>0.1014</v>
      </c>
      <c r="E55" s="5"/>
      <c r="F55" s="22" t="n">
        <f aca="false">$B$32-$B$40</f>
        <v>11.5</v>
      </c>
      <c r="G55" s="5"/>
      <c r="H55" s="20" t="n">
        <f aca="false">D55*F55</f>
        <v>1.1661</v>
      </c>
      <c r="I55" s="11" t="n">
        <f aca="false">H55/$H$61</f>
        <v>0.0566866640019119</v>
      </c>
      <c r="J55" s="23" t="n">
        <v>0.9</v>
      </c>
      <c r="K55" s="15" t="n">
        <f aca="false">IF(SUMIF($B$49:$B$60,B55,$H$49:$H$60)=0,0,H55/SUMIF($B$49:$B$60,B55,$H$49:$H$60))</f>
        <v>0.449624060150376</v>
      </c>
      <c r="L55" s="24" t="n">
        <f aca="false">K55*INDEX($L$65:$L$73,MATCH(B55,$A$65:$A$73,0))</f>
        <v>0.00385927349258674</v>
      </c>
      <c r="M55" s="24" t="n">
        <f aca="false">K55*INDEX($M$65:$M$73,MATCH(B55,$A$65:$A$73,0))</f>
        <v>0.0145122272872067</v>
      </c>
      <c r="N55" s="24" t="n">
        <f aca="false">K55*INDEX($N$65:$N$73,MATCH(B55,$A$65:$A$73,0))</f>
        <v>0.0252241602885562</v>
      </c>
      <c r="O55" s="24" t="n">
        <f aca="false">K55*INDEX($O$65:$O$73,MATCH(B55,$A$65:$A$73,0))</f>
        <v>0.0139553992291521</v>
      </c>
      <c r="P55" s="24" t="n">
        <f aca="false">K55*INDEX($P$65:$P$73,MATCH(B55,$A$65:$A$73,0))</f>
        <v>0.0306469812002765</v>
      </c>
      <c r="Q55" s="11" t="n">
        <f aca="false">INDEX($Q$65:$Q$73,MATCH(B55,$A$65:$A$73,0))*K55*$B$9</f>
        <v>-0.0278112782551404</v>
      </c>
      <c r="R55" s="25" t="n">
        <f aca="false">INDEX($R$65:$R$73,MATCH(B55,$A$65:$A$73,0))*K55*$B$9</f>
        <v>-0.00161246969857852</v>
      </c>
      <c r="S55" s="11" t="n">
        <f aca="false">IF(INDEX($S$65:$S$73,MATCH(B55,$A$65:$A$73,0))="","no external floor",INDEX($S$65:$S$73,MATCH(B55,$A$65:$A$73,0))/K55)</f>
        <v>-2.20054108216381</v>
      </c>
      <c r="T55" s="25" t="n">
        <f aca="false">INDEX($M$65:$M$73,MATCH(B55,$A$65:$A$73,0))*IF(INDEX($S$65:$S$73,MATCH(B55,$A$65:$A$73,0))="",-K55,MAX(-K55,INDEX($S$65:$S$73,MATCH(B55,$A$65:$A$73,0))))</f>
        <v>-0.0145122272872067</v>
      </c>
      <c r="U55" s="22" t="n">
        <f aca="false">IF(D55=0,"",M55/D55*100)</f>
        <v>14.3118612299869</v>
      </c>
      <c r="V55" s="22" t="n">
        <f aca="false">IF(OR(J55="",J55=0),"",U55/J55)</f>
        <v>15.9020680333187</v>
      </c>
      <c r="W55" s="2" t="s">
        <v>237</v>
      </c>
    </row>
    <row r="56" customFormat="false" ht="15" hidden="false" customHeight="false" outlineLevel="0" collapsed="false">
      <c r="A56" s="2" t="s">
        <v>239</v>
      </c>
      <c r="B56" s="5" t="s">
        <v>240</v>
      </c>
      <c r="C56" s="5" t="s">
        <v>233</v>
      </c>
      <c r="D56" s="20" t="n">
        <f aca="false">$B$15*$B$19*$B$23</f>
        <v>0.36</v>
      </c>
      <c r="E56" s="5"/>
      <c r="F56" s="22" t="n">
        <f aca="false">$B$33-$B$37</f>
        <v>0.4026</v>
      </c>
      <c r="G56" s="5"/>
      <c r="H56" s="20" t="n">
        <f aca="false">D56*F56</f>
        <v>0.144936</v>
      </c>
      <c r="I56" s="11" t="n">
        <f aca="false">H56/$H$61</f>
        <v>0.00704565503282833</v>
      </c>
      <c r="J56" s="23" t="n">
        <v>0.12</v>
      </c>
      <c r="K56" s="15" t="n">
        <f aca="false">IF(SUMIF($B$49:$B$60,B56,$H$49:$H$60)=0,0,H56/SUMIF($B$49:$B$60,B56,$H$49:$H$60))</f>
        <v>0.237158341187559</v>
      </c>
      <c r="L56" s="24" t="n">
        <f aca="false">K56*INDEX($L$65:$L$73,MATCH(B56,$A$65:$A$73,0))</f>
        <v>0.000359755378776403</v>
      </c>
      <c r="M56" s="24" t="n">
        <f aca="false">K56*INDEX($M$65:$M$73,MATCH(B56,$A$65:$A$73,0))</f>
        <v>0.00135280690384524</v>
      </c>
      <c r="N56" s="24" t="n">
        <f aca="false">K56*INDEX($N$65:$N$73,MATCH(B56,$A$65:$A$73,0))</f>
        <v>0.00235135637740042</v>
      </c>
      <c r="O56" s="24" t="n">
        <f aca="false">K56*INDEX($O$65:$O$73,MATCH(B56,$A$65:$A$73,0))</f>
        <v>0.00130090027185258</v>
      </c>
      <c r="P56" s="24" t="n">
        <f aca="false">K56*INDEX($P$65:$P$73,MATCH(B56,$A$65:$A$73,0))</f>
        <v>0.00380915090236109</v>
      </c>
      <c r="Q56" s="11" t="n">
        <f aca="false">INDEX($Q$65:$Q$73,MATCH(B56,$A$65:$A$73,0))*K56*$B$9</f>
        <v>-0.0117066473975517</v>
      </c>
      <c r="R56" s="25" t="n">
        <f aca="false">INDEX($R$65:$R$73,MATCH(B56,$A$65:$A$73,0))*K56*$B$9</f>
        <v>-0.000150311878205027</v>
      </c>
      <c r="S56" s="11" t="n">
        <f aca="false">IF(INDEX($S$65:$S$73,MATCH(B56,$A$65:$A$73,0))="","no external floor",INDEX($S$65:$S$73,MATCH(B56,$A$65:$A$73,0))/K56)</f>
        <v>-3.18115922180449</v>
      </c>
      <c r="T56" s="25" t="n">
        <f aca="false">INDEX($M$65:$M$73,MATCH(B56,$A$65:$A$73,0))*IF(INDEX($S$65:$S$73,MATCH(B56,$A$65:$A$73,0))="",-K56,MAX(-K56,INDEX($S$65:$S$73,MATCH(B56,$A$65:$A$73,0))))</f>
        <v>-0.00135280690384524</v>
      </c>
      <c r="U56" s="22" t="n">
        <f aca="false">IF(D56=0,"",M56/D56*100)</f>
        <v>0.375779695512568</v>
      </c>
      <c r="V56" s="22" t="n">
        <f aca="false">IF(OR(J56="",J56=0),"",U56/J56)</f>
        <v>3.13149746260473</v>
      </c>
      <c r="W56" s="2" t="s">
        <v>241</v>
      </c>
    </row>
    <row r="57" customFormat="false" ht="15" hidden="false" customHeight="false" outlineLevel="0" collapsed="false">
      <c r="A57" s="2" t="s">
        <v>242</v>
      </c>
      <c r="B57" s="5" t="s">
        <v>240</v>
      </c>
      <c r="C57" s="5" t="s">
        <v>233</v>
      </c>
      <c r="D57" s="20" t="n">
        <f aca="false">$B$15*$B$19*$B$24</f>
        <v>0.54</v>
      </c>
      <c r="E57" s="5"/>
      <c r="F57" s="22" t="n">
        <f aca="false">$B$34-$B$38</f>
        <v>0.43</v>
      </c>
      <c r="G57" s="5"/>
      <c r="H57" s="20" t="n">
        <f aca="false">D57*F57</f>
        <v>0.2322</v>
      </c>
      <c r="I57" s="11" t="n">
        <f aca="false">H57/$H$61</f>
        <v>0.0112877483759917</v>
      </c>
      <c r="J57" s="23" t="n">
        <v>0</v>
      </c>
      <c r="K57" s="15" t="n">
        <f aca="false">IF(SUMIF($B$49:$B$60,B57,$H$49:$H$60)=0,0,H57/SUMIF($B$49:$B$60,B57,$H$49:$H$60))</f>
        <v>0.379948162111216</v>
      </c>
      <c r="L57" s="24" t="n">
        <f aca="false">K57*INDEX($L$65:$L$73,MATCH(B57,$A$65:$A$73,0))</f>
        <v>0.000576359213389915</v>
      </c>
      <c r="M57" s="24" t="n">
        <f aca="false">K57*INDEX($M$65:$M$73,MATCH(B57,$A$65:$A$73,0))</f>
        <v>0.00216731359408888</v>
      </c>
      <c r="N57" s="24" t="n">
        <f aca="false">K57*INDEX($N$65:$N$73,MATCH(B57,$A$65:$A$73,0))</f>
        <v>0.00376707616349546</v>
      </c>
      <c r="O57" s="24" t="n">
        <f aca="false">K57*INDEX($O$65:$O$73,MATCH(B57,$A$65:$A$73,0))</f>
        <v>0.00208415468292328</v>
      </c>
      <c r="P57" s="24" t="n">
        <f aca="false">K57*INDEX($P$65:$P$73,MATCH(B57,$A$65:$A$73,0))</f>
        <v>0.0061025890015472</v>
      </c>
      <c r="Q57" s="11" t="n">
        <f aca="false">INDEX($Q$65:$Q$73,MATCH(B57,$A$65:$A$73,0))*K57*$B$9</f>
        <v>-0.0187550610318451</v>
      </c>
      <c r="R57" s="25" t="n">
        <f aca="false">INDEX($R$65:$R$73,MATCH(B57,$A$65:$A$73,0))*K57*$B$9</f>
        <v>-0.000240812621565431</v>
      </c>
      <c r="S57" s="11" t="n">
        <f aca="false">IF(INDEX($S$65:$S$73,MATCH(B57,$A$65:$A$73,0))="","no external floor",INDEX($S$65:$S$73,MATCH(B57,$A$65:$A$73,0))/K57)</f>
        <v>-1.98563519798215</v>
      </c>
      <c r="T57" s="25" t="n">
        <f aca="false">INDEX($M$65:$M$73,MATCH(B57,$A$65:$A$73,0))*IF(INDEX($S$65:$S$73,MATCH(B57,$A$65:$A$73,0))="",-K57,MAX(-K57,INDEX($S$65:$S$73,MATCH(B57,$A$65:$A$73,0))))</f>
        <v>-0.00216731359408888</v>
      </c>
      <c r="U57" s="22" t="n">
        <f aca="false">IF(D57=0,"",M57/D57*100)</f>
        <v>0.401354369275718</v>
      </c>
      <c r="V57" s="22" t="str">
        <f aca="false">IF(OR(J57="",J57=0),"",U57/J57)</f>
        <v/>
      </c>
      <c r="W57" s="2" t="s">
        <v>243</v>
      </c>
    </row>
    <row r="58" customFormat="false" ht="15" hidden="false" customHeight="false" outlineLevel="0" collapsed="false">
      <c r="A58" s="2" t="s">
        <v>244</v>
      </c>
      <c r="B58" s="5" t="s">
        <v>240</v>
      </c>
      <c r="C58" s="5" t="s">
        <v>233</v>
      </c>
      <c r="D58" s="20" t="n">
        <f aca="false">$B$15*$B$19*$B$25</f>
        <v>0.9</v>
      </c>
      <c r="E58" s="5"/>
      <c r="F58" s="22" t="n">
        <f aca="false">$B$35-$B$41</f>
        <v>0.26</v>
      </c>
      <c r="G58" s="5"/>
      <c r="H58" s="20" t="n">
        <f aca="false">D58*F58</f>
        <v>0.234</v>
      </c>
      <c r="I58" s="11" t="n">
        <f aca="false">H58/$H$61</f>
        <v>0.011375250301387</v>
      </c>
      <c r="J58" s="23" t="n">
        <v>0.04</v>
      </c>
      <c r="K58" s="15" t="n">
        <f aca="false">IF(SUMIF($B$49:$B$60,B58,$H$49:$H$60)=0,0,H58/SUMIF($B$49:$B$60,B58,$H$49:$H$60))</f>
        <v>0.382893496701225</v>
      </c>
      <c r="L58" s="24" t="n">
        <f aca="false">K58*INDEX($L$65:$L$73,MATCH(B58,$A$65:$A$73,0))</f>
        <v>0.000580827114268907</v>
      </c>
      <c r="M58" s="24" t="n">
        <f aca="false">K58*INDEX($M$65:$M$73,MATCH(B58,$A$65:$A$73,0))</f>
        <v>0.00218411447466321</v>
      </c>
      <c r="N58" s="24" t="n">
        <f aca="false">K58*INDEX($N$65:$N$73,MATCH(B58,$A$65:$A$73,0))</f>
        <v>0.00379627830429775</v>
      </c>
      <c r="O58" s="24" t="n">
        <f aca="false">K58*INDEX($O$65:$O$73,MATCH(B58,$A$65:$A$73,0))</f>
        <v>0.0021003109207754</v>
      </c>
      <c r="P58" s="24" t="n">
        <f aca="false">K58*INDEX($P$65:$P$73,MATCH(B58,$A$65:$A$73,0))</f>
        <v>0.00614989589303206</v>
      </c>
      <c r="Q58" s="11" t="n">
        <f aca="false">INDEX($Q$65:$Q$73,MATCH(B58,$A$65:$A$73,0))*K58*$B$9</f>
        <v>-0.0189004491018594</v>
      </c>
      <c r="R58" s="25" t="n">
        <f aca="false">INDEX($R$65:$R$73,MATCH(B58,$A$65:$A$73,0))*K58*$B$9</f>
        <v>-0.00024267938607369</v>
      </c>
      <c r="S58" s="11" t="n">
        <f aca="false">IF(INDEX($S$65:$S$73,MATCH(B58,$A$65:$A$73,0))="","no external floor",INDEX($S$65:$S$73,MATCH(B58,$A$65:$A$73,0))/K58)</f>
        <v>-1.9703610810746</v>
      </c>
      <c r="T58" s="25" t="n">
        <f aca="false">INDEX($M$65:$M$73,MATCH(B58,$A$65:$A$73,0))*IF(INDEX($S$65:$S$73,MATCH(B58,$A$65:$A$73,0))="",-K58,MAX(-K58,INDEX($S$65:$S$73,MATCH(B58,$A$65:$A$73,0))))</f>
        <v>-0.00218411447466321</v>
      </c>
      <c r="U58" s="22" t="n">
        <f aca="false">IF(D58=0,"",M58/D58*100)</f>
        <v>0.24267938607369</v>
      </c>
      <c r="V58" s="22" t="n">
        <f aca="false">IF(OR(J58="",J58=0),"",U58/J58)</f>
        <v>6.06698465184225</v>
      </c>
      <c r="W58" s="2" t="s">
        <v>245</v>
      </c>
    </row>
    <row r="59" customFormat="false" ht="15" hidden="false" customHeight="false" outlineLevel="0" collapsed="false">
      <c r="A59" s="2" t="s">
        <v>246</v>
      </c>
      <c r="B59" s="5" t="s">
        <v>247</v>
      </c>
      <c r="C59" s="5" t="s">
        <v>248</v>
      </c>
      <c r="D59" s="20" t="n">
        <f aca="false">1</f>
        <v>1</v>
      </c>
      <c r="E59" s="5"/>
      <c r="F59" s="22" t="n">
        <f aca="false">$B$45*$B$42/(1-$B$42)*$B$43</f>
        <v>0.96272167291692</v>
      </c>
      <c r="G59" s="5"/>
      <c r="H59" s="20" t="n">
        <f aca="false">D59*F59</f>
        <v>0.96272167291692</v>
      </c>
      <c r="I59" s="11" t="n">
        <f aca="false">H59/$H$61</f>
        <v>0.0468</v>
      </c>
      <c r="J59" s="23" t="n">
        <v>0.18</v>
      </c>
      <c r="K59" s="15" t="n">
        <f aca="false">IF(SUMIF($B$49:$B$60,B59,$H$49:$H$60)=0,0,H59/SUMIF($B$49:$B$60,B59,$H$49:$H$60))</f>
        <v>1</v>
      </c>
      <c r="L59" s="24" t="n">
        <f aca="false">K59*INDEX($L$65:$L$73,MATCH(B59,$A$65:$A$73,0))</f>
        <v>0.0059459464097899</v>
      </c>
      <c r="M59" s="24" t="n">
        <f aca="false">K59*INDEX($M$65:$M$73,MATCH(B59,$A$65:$A$73,0))</f>
        <v>0.0223588522301344</v>
      </c>
      <c r="N59" s="24" t="n">
        <f aca="false">K59*INDEX($N$65:$N$73,MATCH(B59,$A$65:$A$73,0))</f>
        <v>0.0388626267601413</v>
      </c>
      <c r="O59" s="24" t="n">
        <f aca="false">K59*INDEX($O$65:$O$73,MATCH(B59,$A$65:$A$73,0))</f>
        <v>0.0216027226847711</v>
      </c>
      <c r="P59" s="24" t="n">
        <f aca="false">K59*INDEX($P$65:$P$73,MATCH(B59,$A$65:$A$73,0))</f>
        <v>0.0253018720615586</v>
      </c>
      <c r="Q59" s="11" t="n">
        <f aca="false">INDEX($Q$65:$Q$73,MATCH(B59,$A$65:$A$73,0))*K59*$B$9</f>
        <v>-0.122205143471233</v>
      </c>
      <c r="R59" s="25" t="n">
        <f aca="false">INDEX($R$65:$R$73,MATCH(B59,$A$65:$A$73,0))*K59*$B$9</f>
        <v>-0.00248431691445938</v>
      </c>
      <c r="S59" s="11" t="n">
        <f aca="false">IF(INDEX($S$65:$S$73,MATCH(B59,$A$65:$A$73,0))="","no external floor",INDEX($S$65:$S$73,MATCH(B59,$A$65:$A$73,0))/K59)</f>
        <v>-0.788262081879801</v>
      </c>
      <c r="T59" s="25" t="n">
        <f aca="false">INDEX($M$65:$M$73,MATCH(B59,$A$65:$A$73,0))*IF(INDEX($S$65:$S$73,MATCH(B59,$A$65:$A$73,0))="",-K59,MAX(-K59,INDEX($S$65:$S$73,MATCH(B59,$A$65:$A$73,0))))</f>
        <v>-0.0176246354073685</v>
      </c>
      <c r="U59" s="22" t="n">
        <f aca="false">IF(D59=0,"",M59/D59*100)</f>
        <v>2.23588522301344</v>
      </c>
      <c r="V59" s="22" t="n">
        <f aca="false">IF(OR(J59="",J59=0),"",U59/J59)</f>
        <v>12.4215845722969</v>
      </c>
      <c r="W59" s="2" t="s">
        <v>249</v>
      </c>
    </row>
    <row r="60" customFormat="false" ht="15" hidden="false" customHeight="false" outlineLevel="0" collapsed="false">
      <c r="A60" s="2" t="s">
        <v>250</v>
      </c>
      <c r="B60" s="5" t="s">
        <v>251</v>
      </c>
      <c r="C60" s="5" t="s">
        <v>248</v>
      </c>
      <c r="D60" s="20" t="n">
        <f aca="false">1</f>
        <v>1</v>
      </c>
      <c r="E60" s="5"/>
      <c r="F60" s="22" t="n">
        <f aca="false">$B$45*$B$42/(1-$B$42)*(1-$B$43)</f>
        <v>0.64181444861128</v>
      </c>
      <c r="G60" s="5"/>
      <c r="H60" s="20" t="n">
        <f aca="false">D60*F60</f>
        <v>0.64181444861128</v>
      </c>
      <c r="I60" s="11" t="n">
        <f aca="false">H60/$H$61</f>
        <v>0.0312</v>
      </c>
      <c r="J60" s="23" t="n">
        <v>0.18</v>
      </c>
      <c r="K60" s="15" t="n">
        <f aca="false">IF(SUMIF($B$49:$B$60,B60,$H$49:$H$60)=0,0,H60/SUMIF($B$49:$B$60,B60,$H$49:$H$60))</f>
        <v>1</v>
      </c>
      <c r="L60" s="24" t="n">
        <f aca="false">K60*INDEX($L$65:$L$73,MATCH(B60,$A$65:$A$73,0))</f>
        <v>0.00528528569759102</v>
      </c>
      <c r="M60" s="24" t="n">
        <f aca="false">K60*INDEX($M$65:$M$73,MATCH(B60,$A$65:$A$73,0))</f>
        <v>0.019874535315675</v>
      </c>
      <c r="N60" s="24" t="n">
        <f aca="false">K60*INDEX($N$65:$N$73,MATCH(B60,$A$65:$A$73,0))</f>
        <v>0.0345445571201256</v>
      </c>
      <c r="O60" s="24" t="n">
        <f aca="false">K60*INDEX($O$65:$O$73,MATCH(B60,$A$65:$A$73,0))</f>
        <v>0.0192024201642409</v>
      </c>
      <c r="P60" s="24" t="n">
        <f aca="false">K60*INDEX($P$65:$P$73,MATCH(B60,$A$65:$A$73,0))</f>
        <v>0.0168679147077058</v>
      </c>
      <c r="Q60" s="11" t="n">
        <f aca="false">INDEX($Q$65:$Q$73,MATCH(B60,$A$65:$A$73,0))*K60*$B$9</f>
        <v>-0.163354244114054</v>
      </c>
      <c r="R60" s="25" t="n">
        <f aca="false">INDEX($R$65:$R$73,MATCH(B60,$A$65:$A$73,0))*K60*$B$9</f>
        <v>-0.00220828170174167</v>
      </c>
      <c r="S60" s="11" t="n">
        <f aca="false">IF(INDEX($S$65:$S$73,MATCH(B60,$A$65:$A$73,0))="","no external floor",INDEX($S$65:$S$73,MATCH(B60,$A$65:$A$73,0))/K60)</f>
        <v>-0.840208752126955</v>
      </c>
      <c r="T60" s="25" t="n">
        <f aca="false">INDEX($M$65:$M$73,MATCH(B60,$A$65:$A$73,0))*IF(INDEX($S$65:$S$73,MATCH(B60,$A$65:$A$73,0))="",-K60,MAX(-K60,INDEX($S$65:$S$73,MATCH(B60,$A$65:$A$73,0))))</f>
        <v>-0.0166987585166864</v>
      </c>
      <c r="U60" s="22" t="n">
        <f aca="false">IF(D60=0,"",M60/D60*100)</f>
        <v>1.9874535315675</v>
      </c>
      <c r="V60" s="22" t="n">
        <f aca="false">IF(OR(J60="",J60=0),"",U60/J60)</f>
        <v>11.0414085087083</v>
      </c>
      <c r="W60" s="2" t="s">
        <v>194</v>
      </c>
    </row>
    <row r="61" customFormat="false" ht="15" hidden="false" customHeight="false" outlineLevel="0" collapsed="false">
      <c r="A61" s="14" t="s">
        <v>252</v>
      </c>
      <c r="H61" s="26" t="n">
        <f aca="false">SUM(H49:H60)</f>
        <v>20.5709759170282</v>
      </c>
      <c r="I61" s="27" t="n">
        <f aca="false">SUM(I49:I60)</f>
        <v>1</v>
      </c>
    </row>
    <row r="62" customFormat="false" ht="15" hidden="false" customHeight="false" outlineLevel="0" collapsed="false">
      <c r="A62" s="5" t="s">
        <v>253</v>
      </c>
    </row>
    <row r="64" customFormat="false" ht="72" hidden="false" customHeight="true" outlineLevel="0" collapsed="false">
      <c r="A64" s="6" t="s">
        <v>254</v>
      </c>
      <c r="B64" s="6" t="s">
        <v>255</v>
      </c>
      <c r="C64" s="6" t="s">
        <v>256</v>
      </c>
      <c r="D64" s="6" t="s">
        <v>27</v>
      </c>
      <c r="E64" s="6" t="s">
        <v>257</v>
      </c>
      <c r="F64" s="6" t="s">
        <v>258</v>
      </c>
      <c r="G64" s="6" t="s">
        <v>259</v>
      </c>
      <c r="H64" s="6" t="s">
        <v>260</v>
      </c>
      <c r="I64" s="6" t="s">
        <v>261</v>
      </c>
      <c r="J64" s="6" t="s">
        <v>262</v>
      </c>
      <c r="K64" s="6" t="s">
        <v>263</v>
      </c>
      <c r="L64" s="6" t="s">
        <v>264</v>
      </c>
      <c r="M64" s="6" t="s">
        <v>265</v>
      </c>
      <c r="N64" s="6" t="s">
        <v>266</v>
      </c>
      <c r="O64" s="6" t="s">
        <v>267</v>
      </c>
      <c r="P64" s="6" t="s">
        <v>268</v>
      </c>
      <c r="Q64" s="6" t="s">
        <v>269</v>
      </c>
      <c r="R64" s="6" t="s">
        <v>270</v>
      </c>
      <c r="S64" s="6" t="s">
        <v>271</v>
      </c>
      <c r="T64" s="6" t="s">
        <v>272</v>
      </c>
      <c r="U64" s="6" t="s">
        <v>273</v>
      </c>
    </row>
    <row r="65" customFormat="false" ht="68.65" hidden="false" customHeight="false" outlineLevel="0" collapsed="false">
      <c r="A65" s="5" t="s">
        <v>217</v>
      </c>
      <c r="B65" s="5" t="s">
        <v>218</v>
      </c>
      <c r="C65" s="20" t="n">
        <f aca="false">SUMIF($B$49:$B$60,A65,$H$49:$H$60)</f>
        <v>3.5872</v>
      </c>
      <c r="D65" s="11" t="n">
        <f aca="false">C65/$H$61</f>
        <v>0.174381614876647</v>
      </c>
      <c r="E65" s="11" t="n">
        <f aca="false">C65/SUMIF($B$65:$B$73,B65,$C$65:$C$73)</f>
        <v>1</v>
      </c>
      <c r="F65" s="28" t="n">
        <v>-0.4</v>
      </c>
      <c r="G65" s="23"/>
      <c r="H65" s="2"/>
      <c r="I65" s="15" t="n">
        <f aca="false">E65/ABS(F65)</f>
        <v>2.5</v>
      </c>
      <c r="J65" s="15" t="n">
        <f aca="false">INDEX($G$78:$G$82,MATCH(B65,$A$78:$A$82,0))</f>
        <v>-0.4</v>
      </c>
      <c r="K65" s="24" t="n">
        <f aca="false">INDEX($I$78:$I$82,MATCH(B65,$A$78:$A$82,0))</f>
        <v>0.106004971972032</v>
      </c>
      <c r="L65" s="24" t="n">
        <f aca="false">$B$7*K65*I65/(1+$B$7*$B$95)</f>
        <v>0.0269358924152557</v>
      </c>
      <c r="M65" s="24" t="n">
        <f aca="false">$B$8*K65*I65/(1+$B$8*$B$95)</f>
        <v>0.10128844034112</v>
      </c>
      <c r="N65" s="24" t="n">
        <f aca="false">K65*I65/$B$95</f>
        <v>0.176052635062749</v>
      </c>
      <c r="O65" s="24" t="n">
        <f aca="false">$B$8*(D65/ABS(F65))/(1+$B$8*$B$87)</f>
        <v>0.160987934508665</v>
      </c>
      <c r="P65" s="24" t="n">
        <f aca="false">$B$8*D65/($B$8+ABS($B$88))</f>
        <v>0.0942773784080539</v>
      </c>
      <c r="Q65" s="24" t="n">
        <f aca="false">IF(T65="",(M65-1)/F65,((J65*((M65-T65*ABS(J65)*I65)/$B$94)+ABS(J65)*I65)-1)/F65)</f>
        <v>0.13420291122324</v>
      </c>
      <c r="R65" s="24" t="n">
        <f aca="false">M65/$B$8</f>
        <v>0.112542711490133</v>
      </c>
      <c r="S65" s="11" t="str">
        <f aca="false">IF(OR(G65="",G65&lt;=0,G65&gt;=1),"",EXP(LN(G65)/Q65)-1)</f>
        <v/>
      </c>
      <c r="T65" s="15" t="n">
        <f aca="false">INDEX($E$78:$E$82,MATCH(B65,$A$78:$A$82,0))</f>
        <v>0.19</v>
      </c>
      <c r="U65" s="2" t="s">
        <v>274</v>
      </c>
    </row>
    <row r="66" customFormat="false" ht="46.25" hidden="false" customHeight="false" outlineLevel="0" collapsed="false">
      <c r="A66" s="5" t="s">
        <v>221</v>
      </c>
      <c r="B66" s="5" t="s">
        <v>222</v>
      </c>
      <c r="C66" s="20" t="n">
        <f aca="false">SUMIF($B$49:$B$60,A66,$H$49:$H$60)</f>
        <v>1.408</v>
      </c>
      <c r="D66" s="11" t="n">
        <f aca="false">C66/$H$61</f>
        <v>0.0684459505314227</v>
      </c>
      <c r="E66" s="11" t="n">
        <f aca="false">C66/SUMIF($B$65:$B$73,B66,$C$65:$C$73)</f>
        <v>1</v>
      </c>
      <c r="F66" s="28" t="n">
        <v>-0.9</v>
      </c>
      <c r="G66" s="23"/>
      <c r="H66" s="2"/>
      <c r="I66" s="15" t="n">
        <f aca="false">E66/ABS(F66)</f>
        <v>1.11111111111111</v>
      </c>
      <c r="J66" s="15" t="n">
        <f aca="false">INDEX($G$78:$G$82,MATCH(B66,$A$78:$A$82,0))</f>
        <v>-0.9</v>
      </c>
      <c r="K66" s="24" t="n">
        <f aca="false">INDEX($I$78:$I$82,MATCH(B66,$A$78:$A$82,0))</f>
        <v>0.100425762920873</v>
      </c>
      <c r="L66" s="24" t="n">
        <f aca="false">$B$7*K66*I66/(1+$B$7*$B$95)</f>
        <v>0.0113414283853708</v>
      </c>
      <c r="M66" s="24" t="n">
        <f aca="false">$B$8*K66*I66/(1+$B$8*$B$95)</f>
        <v>0.0426477643541558</v>
      </c>
      <c r="N66" s="24" t="n">
        <f aca="false">K66*I66/$B$95</f>
        <v>0.0741274252895787</v>
      </c>
      <c r="O66" s="24" t="n">
        <f aca="false">$B$8*(D66/ABS(F66))/(1+$B$8*$B$87)</f>
        <v>0.0280839295009664</v>
      </c>
      <c r="P66" s="24" t="n">
        <f aca="false">$B$8*D66/($B$8+ABS($B$88))</f>
        <v>0.0370045017837143</v>
      </c>
      <c r="Q66" s="24" t="n">
        <f aca="false">IF(T66="",(M66-1)/F66,((J66*((M66-T66*ABS(J66)*I66)/$B$94)+ABS(J66)*I66)-1)/F66)</f>
        <v>0.0565064889361009</v>
      </c>
      <c r="R66" s="24" t="n">
        <f aca="false">M66/$B$8</f>
        <v>0.0473864048379509</v>
      </c>
      <c r="S66" s="11" t="str">
        <f aca="false">IF(OR(G66="",G66&lt;=0,G66&gt;=1),"",EXP(LN(G66)/Q66)-1)</f>
        <v/>
      </c>
      <c r="T66" s="15" t="n">
        <f aca="false">INDEX($E$78:$E$82,MATCH(B66,$A$78:$A$82,0))</f>
        <v>0.08</v>
      </c>
      <c r="U66" s="2" t="s">
        <v>275</v>
      </c>
    </row>
    <row r="67" customFormat="false" ht="35.05" hidden="false" customHeight="false" outlineLevel="0" collapsed="false">
      <c r="A67" s="5" t="s">
        <v>225</v>
      </c>
      <c r="B67" s="5" t="s">
        <v>226</v>
      </c>
      <c r="C67" s="20" t="n">
        <f aca="false">SUMIF($B$49:$B$60,A67,$H$49:$H$60)</f>
        <v>0.671671</v>
      </c>
      <c r="D67" s="11" t="n">
        <f aca="false">C67/$H$61</f>
        <v>0.0326513920734313</v>
      </c>
      <c r="E67" s="11" t="n">
        <f aca="false">C67/SUMIF($B$65:$B$73,B67,$C$65:$C$73)</f>
        <v>0.272846687350266</v>
      </c>
      <c r="F67" s="28" t="n">
        <v>-0.6</v>
      </c>
      <c r="G67" s="23"/>
      <c r="H67" s="2"/>
      <c r="I67" s="15" t="n">
        <f aca="false">E67/ABS(F67)</f>
        <v>0.45474447891711</v>
      </c>
      <c r="J67" s="15" t="n">
        <f aca="false">INDEX($G$78:$G$82,MATCH(B67,$A$78:$A$82,0))</f>
        <v>-0.846096851297351</v>
      </c>
      <c r="K67" s="24" t="n">
        <f aca="false">INDEX($I$78:$I$82,MATCH(B67,$A$78:$A$82,0))</f>
        <v>0.153417914354764</v>
      </c>
      <c r="L67" s="24" t="n">
        <f aca="false">$B$7*K67*I67/(1+$B$7*$B$95)</f>
        <v>0.00709101875338255</v>
      </c>
      <c r="M67" s="24" t="n">
        <f aca="false">$B$8*K67*I67/(1+$B$8*$B$95)</f>
        <v>0.0266647274531347</v>
      </c>
      <c r="N67" s="24" t="n">
        <f aca="false">K67*I67/$B$95</f>
        <v>0.0463468043889764</v>
      </c>
      <c r="O67" s="24" t="n">
        <f aca="false">$B$8*(D67/ABS(F67))/(1+$B$8*$B$87)</f>
        <v>0.0200956971006857</v>
      </c>
      <c r="P67" s="24" t="n">
        <f aca="false">$B$8*D67/($B$8+ABS($B$88))</f>
        <v>0.0176525928391826</v>
      </c>
      <c r="Q67" s="24" t="n">
        <f aca="false">IF(T67="",(M67-1)/F67,((J67*((M67-T67*ABS(J67)*I67)/$B$94)+ABS(J67)*I67)-1)/F67)</f>
        <v>1.07522404119661</v>
      </c>
      <c r="R67" s="24" t="n">
        <f aca="false">M67/$B$8</f>
        <v>0.0296274749479274</v>
      </c>
      <c r="S67" s="11" t="str">
        <f aca="false">IF(OR(G67="",G67&lt;=0,G67&gt;=1),"",EXP(LN(G67)/Q67)-1)</f>
        <v/>
      </c>
      <c r="T67" s="15" t="n">
        <f aca="false">INDEX($E$78:$E$82,MATCH(B67,$A$78:$A$82,0))</f>
        <v>0.13</v>
      </c>
      <c r="U67" s="2" t="s">
        <v>276</v>
      </c>
    </row>
    <row r="68" customFormat="false" ht="46.25" hidden="false" customHeight="false" outlineLevel="0" collapsed="false">
      <c r="A68" s="5" t="s">
        <v>229</v>
      </c>
      <c r="B68" s="5" t="s">
        <v>226</v>
      </c>
      <c r="C68" s="20" t="n">
        <f aca="false">SUMIF($B$49:$B$60,A68,$H$49:$H$60)</f>
        <v>1.7900447955</v>
      </c>
      <c r="D68" s="11" t="n">
        <f aca="false">C68/$H$61</f>
        <v>0.0870179811944771</v>
      </c>
      <c r="E68" s="11" t="n">
        <f aca="false">C68/SUMIF($B$65:$B$73,B68,$C$65:$C$73)</f>
        <v>0.727153312649734</v>
      </c>
      <c r="F68" s="28" t="n">
        <v>-1</v>
      </c>
      <c r="G68" s="23" t="n">
        <v>0.6</v>
      </c>
      <c r="H68" s="2" t="s">
        <v>277</v>
      </c>
      <c r="I68" s="15" t="n">
        <f aca="false">E68/ABS(F68)</f>
        <v>0.727153312649734</v>
      </c>
      <c r="J68" s="15" t="n">
        <f aca="false">INDEX($G$78:$G$82,MATCH(B68,$A$78:$A$82,0))</f>
        <v>-0.846096851297351</v>
      </c>
      <c r="K68" s="24" t="n">
        <f aca="false">INDEX($I$78:$I$82,MATCH(B68,$A$78:$A$82,0))</f>
        <v>0.153417914354764</v>
      </c>
      <c r="L68" s="24" t="n">
        <f aca="false">$B$7*K68*I68/(1+$B$7*$B$95)</f>
        <v>0.011338802372845</v>
      </c>
      <c r="M68" s="24" t="n">
        <f aca="false">$B$8*K68*I68/(1+$B$8*$B$95)</f>
        <v>0.0426378896223684</v>
      </c>
      <c r="N68" s="24" t="n">
        <f aca="false">K68*I68/$B$95</f>
        <v>0.0741102617065889</v>
      </c>
      <c r="O68" s="24" t="n">
        <f aca="false">$B$8*(D68/ABS(F68))/(1+$B$8*$B$87)</f>
        <v>0.0321337660911609</v>
      </c>
      <c r="P68" s="24" t="n">
        <f aca="false">$B$8*D68/($B$8+ABS($B$88))</f>
        <v>0.0470452527187559</v>
      </c>
      <c r="Q68" s="24" t="n">
        <f aca="false">IF(T68="",(M68-1)/F68,((J68*((M68-T68*ABS(J68)*I68)/$B$94)+ABS(J68)*I68)-1)/F68)</f>
        <v>0.432556764127927</v>
      </c>
      <c r="R68" s="24" t="n">
        <f aca="false">M68/$B$8</f>
        <v>0.0473754329137427</v>
      </c>
      <c r="S68" s="11" t="n">
        <f aca="false">IF(OR(G68="",G68&lt;=0,G68&gt;=1),"",EXP(LN(G68)/Q68)-1)</f>
        <v>-0.693011414609194</v>
      </c>
      <c r="T68" s="15" t="n">
        <f aca="false">INDEX($E$78:$E$82,MATCH(B68,$A$78:$A$82,0))</f>
        <v>0.13</v>
      </c>
      <c r="U68" s="2" t="s">
        <v>278</v>
      </c>
    </row>
    <row r="69" customFormat="false" ht="57.45" hidden="false" customHeight="false" outlineLevel="0" collapsed="false">
      <c r="A69" s="5" t="s">
        <v>232</v>
      </c>
      <c r="B69" s="5" t="s">
        <v>233</v>
      </c>
      <c r="C69" s="20" t="n">
        <f aca="false">SUMIF($B$49:$B$60,A69,$H$49:$H$60)</f>
        <v>8.304888</v>
      </c>
      <c r="D69" s="11" t="n">
        <f aca="false">C69/$H$61</f>
        <v>0.403718716773442</v>
      </c>
      <c r="E69" s="11" t="n">
        <f aca="false">C69/SUMIF($B$65:$B$73,B69,$C$65:$C$73)</f>
        <v>0.721566591285617</v>
      </c>
      <c r="F69" s="28" t="n">
        <v>-0.55</v>
      </c>
      <c r="G69" s="23"/>
      <c r="H69" s="2"/>
      <c r="I69" s="15" t="n">
        <f aca="false">E69/ABS(F69)</f>
        <v>1.31193925688294</v>
      </c>
      <c r="J69" s="15" t="n">
        <f aca="false">INDEX($G$78:$G$82,MATCH(B69,$A$78:$A$82,0))</f>
        <v>-0.671721679061888</v>
      </c>
      <c r="K69" s="24" t="n">
        <f aca="false">INDEX($I$78:$I$82,MATCH(B69,$A$78:$A$82,0))</f>
        <v>0.562151350752331</v>
      </c>
      <c r="L69" s="24" t="n">
        <f aca="false">$B$7*K69*I69/(1+$B$7*$B$95)</f>
        <v>0.0749604371618722</v>
      </c>
      <c r="M69" s="24" t="n">
        <f aca="false">$B$8*K69*I69/(1+$B$8*$B$95)</f>
        <v>0.28187763933577</v>
      </c>
      <c r="N69" s="24" t="n">
        <f aca="false">K69*I69/$B$95</f>
        <v>0.489940421663135</v>
      </c>
      <c r="O69" s="24" t="n">
        <f aca="false">$B$8*(D69/ABS(F69))/(1+$B$8*$B$87)</f>
        <v>0.271062112854959</v>
      </c>
      <c r="P69" s="24" t="n">
        <f aca="false">$B$8*D69/($B$8+ABS($B$88))</f>
        <v>0.218265797449963</v>
      </c>
      <c r="Q69" s="24" t="n">
        <f aca="false">IF(T69="",(M69-1)/F69,((J69*((M69-T69*ABS(J69)*I69)/$B$94)+ABS(J69)*I69)-1)/F69)</f>
        <v>0.672025225141256</v>
      </c>
      <c r="R69" s="24" t="n">
        <f aca="false">M69/$B$8</f>
        <v>0.313197377039745</v>
      </c>
      <c r="S69" s="11" t="str">
        <f aca="false">IF(OR(G69="",G69&lt;=0,G69&gt;=1),"",EXP(LN(G69)/Q69)-1)</f>
        <v/>
      </c>
      <c r="T69" s="15" t="n">
        <f aca="false">INDEX($E$78:$E$82,MATCH(B69,$A$78:$A$82,0))</f>
        <v>0.6</v>
      </c>
      <c r="U69" s="2" t="s">
        <v>279</v>
      </c>
    </row>
    <row r="70" customFormat="false" ht="79.85" hidden="false" customHeight="false" outlineLevel="0" collapsed="false">
      <c r="A70" s="5" t="s">
        <v>236</v>
      </c>
      <c r="B70" s="5" t="s">
        <v>233</v>
      </c>
      <c r="C70" s="20" t="n">
        <f aca="false">SUMIF($B$49:$B$60,A70,$H$49:$H$60)</f>
        <v>2.5935</v>
      </c>
      <c r="D70" s="11" t="n">
        <f aca="false">C70/$H$61</f>
        <v>0.126075690840373</v>
      </c>
      <c r="E70" s="11" t="n">
        <f aca="false">C70/SUMIF($B$65:$B$73,B70,$C$65:$C$73)</f>
        <v>0.225335122460321</v>
      </c>
      <c r="F70" s="28" t="n">
        <v>-1.5</v>
      </c>
      <c r="G70" s="23" t="n">
        <v>0.06</v>
      </c>
      <c r="H70" s="2" t="s">
        <v>280</v>
      </c>
      <c r="I70" s="15" t="n">
        <f aca="false">E70/ABS(F70)</f>
        <v>0.150223414973547</v>
      </c>
      <c r="J70" s="15" t="n">
        <f aca="false">INDEX($G$78:$G$82,MATCH(B70,$A$78:$A$82,0))</f>
        <v>-0.671721679061888</v>
      </c>
      <c r="K70" s="24" t="n">
        <f aca="false">INDEX($I$78:$I$82,MATCH(B70,$A$78:$A$82,0))</f>
        <v>0.562151350752331</v>
      </c>
      <c r="L70" s="24" t="n">
        <f aca="false">$B$7*K70*I70/(1+$B$7*$B$95)</f>
        <v>0.00858333402197384</v>
      </c>
      <c r="M70" s="24" t="n">
        <f aca="false">$B$8*K70*I70/(1+$B$8*$B$95)</f>
        <v>0.0322763583478008</v>
      </c>
      <c r="N70" s="24" t="n">
        <f aca="false">K70*I70/$B$95</f>
        <v>0.0561005571635112</v>
      </c>
      <c r="O70" s="24" t="n">
        <f aca="false">$B$8*(D70/ABS(F70))/(1+$B$8*$B$87)</f>
        <v>0.0310379280514587</v>
      </c>
      <c r="P70" s="24" t="n">
        <f aca="false">$B$8*D70/($B$8+ABS($B$88))</f>
        <v>0.068161346147772</v>
      </c>
      <c r="Q70" s="24" t="n">
        <f aca="false">IF(T70="",(M70-1)/F70,((J70*((M70-T70*ABS(J70)*I70)/$B$94)+ABS(J70)*I70)-1)/F70)</f>
        <v>0.618545151828372</v>
      </c>
      <c r="R70" s="24" t="n">
        <f aca="false">M70/$B$8</f>
        <v>0.0358626203864453</v>
      </c>
      <c r="S70" s="11" t="n">
        <f aca="false">IF(OR(G70="",G70&lt;=0,G70&gt;=1),"",EXP(LN(G70)/Q70)-1)</f>
        <v>-0.989416215890194</v>
      </c>
      <c r="T70" s="15" t="n">
        <f aca="false">INDEX($E$78:$E$82,MATCH(B70,$A$78:$A$82,0))</f>
        <v>0.6</v>
      </c>
      <c r="U70" s="2" t="s">
        <v>281</v>
      </c>
    </row>
    <row r="71" customFormat="false" ht="46.25" hidden="false" customHeight="false" outlineLevel="0" collapsed="false">
      <c r="A71" s="5" t="s">
        <v>240</v>
      </c>
      <c r="B71" s="5" t="s">
        <v>233</v>
      </c>
      <c r="C71" s="20" t="n">
        <f aca="false">SUMIF($B$49:$B$60,A71,$H$49:$H$60)</f>
        <v>0.611136</v>
      </c>
      <c r="D71" s="11" t="n">
        <f aca="false">C71/$H$61</f>
        <v>0.0297086537102071</v>
      </c>
      <c r="E71" s="11" t="n">
        <f aca="false">C71/SUMIF($B$65:$B$73,B71,$C$65:$C$73)</f>
        <v>0.0530982862540623</v>
      </c>
      <c r="F71" s="28" t="n">
        <v>-2</v>
      </c>
      <c r="G71" s="23" t="n">
        <v>0.5</v>
      </c>
      <c r="H71" s="2" t="s">
        <v>282</v>
      </c>
      <c r="I71" s="15" t="n">
        <f aca="false">E71/ABS(F71)</f>
        <v>0.0265491431270311</v>
      </c>
      <c r="J71" s="15" t="n">
        <f aca="false">INDEX($G$78:$G$82,MATCH(B71,$A$78:$A$82,0))</f>
        <v>-0.671721679061888</v>
      </c>
      <c r="K71" s="24" t="n">
        <f aca="false">INDEX($I$78:$I$82,MATCH(B71,$A$78:$A$82,0))</f>
        <v>0.562151350752331</v>
      </c>
      <c r="L71" s="24" t="n">
        <f aca="false">$B$7*K71*I71/(1+$B$7*$B$95)</f>
        <v>0.00151694170643523</v>
      </c>
      <c r="M71" s="24" t="n">
        <f aca="false">$B$8*K71*I71/(1+$B$8*$B$95)</f>
        <v>0.00570423497259733</v>
      </c>
      <c r="N71" s="24" t="n">
        <f aca="false">K71*I71/$B$95</f>
        <v>0.00991471084519363</v>
      </c>
      <c r="O71" s="24" t="n">
        <f aca="false">$B$8*(D71/ABS(F71))/(1+$B$8*$B$87)</f>
        <v>0.00548536587555126</v>
      </c>
      <c r="P71" s="24" t="n">
        <f aca="false">$B$8*D71/($B$8+ABS($B$88))</f>
        <v>0.0160616357969404</v>
      </c>
      <c r="Q71" s="24" t="n">
        <f aca="false">IF(T71="",(M71-1)/F71,((J71*((M71-T71*ABS(J71)*I71)/$B$94)+ABS(J71)*I71)-1)/F71)</f>
        <v>0.493621575312562</v>
      </c>
      <c r="R71" s="24" t="n">
        <f aca="false">M71/$B$8</f>
        <v>0.00633803885844148</v>
      </c>
      <c r="S71" s="11" t="n">
        <f aca="false">IF(OR(G71="",G71&lt;=0,G71&gt;=1),"",EXP(LN(G71)/Q71)-1)</f>
        <v>-0.75443844409666</v>
      </c>
      <c r="T71" s="15" t="n">
        <f aca="false">INDEX($E$78:$E$82,MATCH(B71,$A$78:$A$82,0))</f>
        <v>0.6</v>
      </c>
      <c r="U71" s="2" t="s">
        <v>283</v>
      </c>
    </row>
    <row r="72" customFormat="false" ht="35.05" hidden="false" customHeight="false" outlineLevel="0" collapsed="false">
      <c r="A72" s="5" t="s">
        <v>247</v>
      </c>
      <c r="B72" s="5" t="s">
        <v>248</v>
      </c>
      <c r="C72" s="20" t="n">
        <f aca="false">SUMIF($B$49:$B$60,A72,$H$49:$H$60)</f>
        <v>0.96272167291692</v>
      </c>
      <c r="D72" s="11" t="n">
        <f aca="false">C72/$H$61</f>
        <v>0.0468</v>
      </c>
      <c r="E72" s="11" t="n">
        <f aca="false">C72/SUMIF($B$65:$B$73,B72,$C$65:$C$73)</f>
        <v>0.6</v>
      </c>
      <c r="F72" s="28" t="n">
        <v>-0.8</v>
      </c>
      <c r="G72" s="23" t="n">
        <v>0.15</v>
      </c>
      <c r="H72" s="2" t="s">
        <v>284</v>
      </c>
      <c r="I72" s="15" t="n">
        <f aca="false">E72/ABS(F72)</f>
        <v>0.75</v>
      </c>
      <c r="J72" s="15" t="n">
        <f aca="false">INDEX($G$78:$G$82,MATCH(B72,$A$78:$A$82,0))</f>
        <v>-0.705882352941177</v>
      </c>
      <c r="K72" s="24" t="n">
        <f aca="false">INDEX($I$78:$I$82,MATCH(B72,$A$78:$A$82,0))</f>
        <v>0.078</v>
      </c>
      <c r="L72" s="24" t="n">
        <f aca="false">$B$7*K72*I72/(1+$B$7*$B$95)</f>
        <v>0.0059459464097899</v>
      </c>
      <c r="M72" s="24" t="n">
        <f aca="false">$B$8*K72*I72/(1+$B$8*$B$95)</f>
        <v>0.0223588522301344</v>
      </c>
      <c r="N72" s="24" t="n">
        <f aca="false">K72*I72/$B$95</f>
        <v>0.0388626267601413</v>
      </c>
      <c r="O72" s="24" t="n">
        <f aca="false">$B$8*(D72/ABS(F72))/(1+$B$8*$B$87)</f>
        <v>0.0216027226847711</v>
      </c>
      <c r="P72" s="24" t="n">
        <f aca="false">$B$8*D72/($B$8+ABS($B$88))</f>
        <v>0.0253018720615586</v>
      </c>
      <c r="Q72" s="24" t="n">
        <f aca="false">IF(T72="",(M72-1)/F72,((J72*((M72-T72*ABS(J72)*I72)/$B$94)+ABS(J72)*I72)-1)/F72)</f>
        <v>1.22205143471233</v>
      </c>
      <c r="R72" s="24" t="n">
        <f aca="false">M72/$B$8</f>
        <v>0.0248431691445937</v>
      </c>
      <c r="S72" s="11" t="n">
        <f aca="false">IF(OR(G72="",G72&lt;=0,G72&gt;=1),"",EXP(LN(G72)/Q72)-1)</f>
        <v>-0.788262081879801</v>
      </c>
      <c r="T72" s="15" t="str">
        <f aca="false">INDEX($E$78:$E$82,MATCH(B72,$A$78:$A$82,0))</f>
        <v/>
      </c>
      <c r="U72" s="2" t="s">
        <v>285</v>
      </c>
    </row>
    <row r="73" customFormat="false" ht="35.05" hidden="false" customHeight="false" outlineLevel="0" collapsed="false">
      <c r="A73" s="5" t="s">
        <v>251</v>
      </c>
      <c r="B73" s="5" t="s">
        <v>248</v>
      </c>
      <c r="C73" s="20" t="n">
        <f aca="false">SUMIF($B$49:$B$60,A73,$H$49:$H$60)</f>
        <v>0.64181444861128</v>
      </c>
      <c r="D73" s="11" t="n">
        <f aca="false">C73/$H$61</f>
        <v>0.0312</v>
      </c>
      <c r="E73" s="11" t="n">
        <f aca="false">C73/SUMIF($B$65:$B$73,B73,$C$65:$C$73)</f>
        <v>0.4</v>
      </c>
      <c r="F73" s="28" t="n">
        <v>-0.6</v>
      </c>
      <c r="G73" s="23" t="n">
        <v>0.05</v>
      </c>
      <c r="H73" s="2" t="s">
        <v>286</v>
      </c>
      <c r="I73" s="15" t="n">
        <f aca="false">E73/ABS(F73)</f>
        <v>0.666666666666667</v>
      </c>
      <c r="J73" s="15" t="n">
        <f aca="false">INDEX($G$78:$G$82,MATCH(B73,$A$78:$A$82,0))</f>
        <v>-0.705882352941177</v>
      </c>
      <c r="K73" s="24" t="n">
        <f aca="false">INDEX($I$78:$I$82,MATCH(B73,$A$78:$A$82,0))</f>
        <v>0.078</v>
      </c>
      <c r="L73" s="24" t="n">
        <f aca="false">$B$7*K73*I73/(1+$B$7*$B$95)</f>
        <v>0.00528528569759102</v>
      </c>
      <c r="M73" s="24" t="n">
        <f aca="false">$B$8*K73*I73/(1+$B$8*$B$95)</f>
        <v>0.019874535315675</v>
      </c>
      <c r="N73" s="24" t="n">
        <f aca="false">K73*I73/$B$95</f>
        <v>0.0345445571201256</v>
      </c>
      <c r="O73" s="24" t="n">
        <f aca="false">$B$8*(D73/ABS(F73))/(1+$B$8*$B$87)</f>
        <v>0.0192024201642409</v>
      </c>
      <c r="P73" s="24" t="n">
        <f aca="false">$B$8*D73/($B$8+ABS($B$88))</f>
        <v>0.0168679147077058</v>
      </c>
      <c r="Q73" s="24" t="n">
        <f aca="false">IF(T73="",(M73-1)/F73,((J73*((M73-T73*ABS(J73)*I73)/$B$94)+ABS(J73)*I73)-1)/F73)</f>
        <v>1.63354244114054</v>
      </c>
      <c r="R73" s="24" t="n">
        <f aca="false">M73/$B$8</f>
        <v>0.0220828170174167</v>
      </c>
      <c r="S73" s="11" t="n">
        <f aca="false">IF(OR(G73="",G73&lt;=0,G73&gt;=1),"",EXP(LN(G73)/Q73)-1)</f>
        <v>-0.840208752126955</v>
      </c>
      <c r="T73" s="15" t="str">
        <f aca="false">INDEX($E$78:$E$82,MATCH(B73,$A$78:$A$82,0))</f>
        <v/>
      </c>
      <c r="U73" s="2" t="s">
        <v>287</v>
      </c>
    </row>
    <row r="77" customFormat="false" ht="72" hidden="false" customHeight="true" outlineLevel="0" collapsed="false">
      <c r="A77" s="6" t="s">
        <v>255</v>
      </c>
      <c r="B77" s="6" t="s">
        <v>288</v>
      </c>
      <c r="C77" s="6" t="s">
        <v>289</v>
      </c>
      <c r="D77" s="6" t="s">
        <v>290</v>
      </c>
      <c r="E77" s="6" t="s">
        <v>291</v>
      </c>
      <c r="F77" s="6" t="s">
        <v>292</v>
      </c>
      <c r="G77" s="6" t="s">
        <v>293</v>
      </c>
      <c r="H77" s="6" t="s">
        <v>294</v>
      </c>
      <c r="I77" s="6" t="s">
        <v>295</v>
      </c>
      <c r="J77" s="6" t="s">
        <v>296</v>
      </c>
    </row>
    <row r="78" customFormat="false" ht="15" hidden="false" customHeight="false" outlineLevel="0" collapsed="false">
      <c r="A78" s="5" t="s">
        <v>218</v>
      </c>
      <c r="B78" s="20" t="n">
        <f aca="false">SUMIF($C$49:$C$60,A78,$H$49:$H$60)</f>
        <v>3.5872</v>
      </c>
      <c r="C78" s="11" t="n">
        <f aca="false">B78/$H$61</f>
        <v>0.174381614876647</v>
      </c>
      <c r="D78" s="15" t="n">
        <f aca="false">$B$14</f>
        <v>0.19</v>
      </c>
      <c r="E78" s="15" t="n">
        <f aca="false">IF(D78="","",D78/SUM($D$78:$D$82))</f>
        <v>0.19</v>
      </c>
      <c r="F78" s="15" t="n">
        <f aca="false">SUMIF($B$65:$B$73,A78,$I$65:$I$73)</f>
        <v>2.5</v>
      </c>
      <c r="G78" s="15" t="n">
        <f aca="false">-1/F78</f>
        <v>-0.4</v>
      </c>
      <c r="H78" s="15" t="n">
        <f aca="false">IF(E78="","",E78*G78)</f>
        <v>-0.076</v>
      </c>
      <c r="I78" s="24" t="n">
        <f aca="false">IF(E78="",C78,($B$93/ABS($B$94))*E78*ABS(G78))</f>
        <v>0.106004971972032</v>
      </c>
      <c r="J78" s="24" t="str">
        <f aca="false">IF(E78="",C78/ABS(G78),"")</f>
        <v/>
      </c>
    </row>
    <row r="79" customFormat="false" ht="15" hidden="false" customHeight="false" outlineLevel="0" collapsed="false">
      <c r="A79" s="5" t="s">
        <v>222</v>
      </c>
      <c r="B79" s="20" t="n">
        <f aca="false">SUMIF($C$49:$C$60,A79,$H$49:$H$60)</f>
        <v>1.408</v>
      </c>
      <c r="C79" s="11" t="n">
        <f aca="false">B79/$H$61</f>
        <v>0.0684459505314227</v>
      </c>
      <c r="D79" s="15" t="n">
        <f aca="false">$B$17</f>
        <v>0.08</v>
      </c>
      <c r="E79" s="15" t="n">
        <f aca="false">IF(D79="","",D79/SUM($D$78:$D$82))</f>
        <v>0.08</v>
      </c>
      <c r="F79" s="15" t="n">
        <f aca="false">SUMIF($B$65:$B$73,A79,$I$65:$I$73)</f>
        <v>1.11111111111111</v>
      </c>
      <c r="G79" s="15" t="n">
        <f aca="false">-1/F79</f>
        <v>-0.9</v>
      </c>
      <c r="H79" s="15" t="n">
        <f aca="false">IF(E79="","",E79*G79)</f>
        <v>-0.072</v>
      </c>
      <c r="I79" s="24" t="n">
        <f aca="false">IF(E79="",C79,($B$93/ABS($B$94))*E79*ABS(G79))</f>
        <v>0.100425762920873</v>
      </c>
      <c r="J79" s="24" t="str">
        <f aca="false">IF(E79="",C79/ABS(G79),"")</f>
        <v/>
      </c>
    </row>
    <row r="80" customFormat="false" ht="15" hidden="false" customHeight="false" outlineLevel="0" collapsed="false">
      <c r="A80" s="5" t="s">
        <v>226</v>
      </c>
      <c r="B80" s="20" t="n">
        <f aca="false">SUMIF($C$49:$C$60,A80,$H$49:$H$60)</f>
        <v>2.4617157955</v>
      </c>
      <c r="C80" s="11" t="n">
        <f aca="false">B80/$H$61</f>
        <v>0.119669373267908</v>
      </c>
      <c r="D80" s="15" t="n">
        <f aca="false">$B$16</f>
        <v>0.13</v>
      </c>
      <c r="E80" s="15" t="n">
        <f aca="false">IF(D80="","",D80/SUM($D$78:$D$82))</f>
        <v>0.13</v>
      </c>
      <c r="F80" s="15" t="n">
        <f aca="false">SUMIF($B$65:$B$73,A80,$I$65:$I$73)</f>
        <v>1.18189779156684</v>
      </c>
      <c r="G80" s="15" t="n">
        <f aca="false">-1/F80</f>
        <v>-0.846096851297351</v>
      </c>
      <c r="H80" s="15" t="n">
        <f aca="false">IF(E80="","",E80*G80)</f>
        <v>-0.109992590668656</v>
      </c>
      <c r="I80" s="24" t="n">
        <f aca="false">IF(E80="",C80,($B$93/ABS($B$94))*E80*ABS(G80))</f>
        <v>0.153417914354764</v>
      </c>
      <c r="J80" s="24" t="str">
        <f aca="false">IF(E80="",C80/ABS(G80),"")</f>
        <v/>
      </c>
    </row>
    <row r="81" customFormat="false" ht="15" hidden="false" customHeight="false" outlineLevel="0" collapsed="false">
      <c r="A81" s="5" t="s">
        <v>233</v>
      </c>
      <c r="B81" s="20" t="n">
        <f aca="false">SUMIF($C$49:$C$60,A81,$H$49:$H$60)</f>
        <v>11.509524</v>
      </c>
      <c r="C81" s="11" t="n">
        <f aca="false">B81/$H$61</f>
        <v>0.559503061324022</v>
      </c>
      <c r="D81" s="15" t="n">
        <f aca="false">$B$15</f>
        <v>0.6</v>
      </c>
      <c r="E81" s="15" t="n">
        <f aca="false">IF(D81="","",D81/SUM($D$78:$D$82))</f>
        <v>0.6</v>
      </c>
      <c r="F81" s="15" t="n">
        <f aca="false">SUMIF($B$65:$B$73,A81,$I$65:$I$73)</f>
        <v>1.48871181498352</v>
      </c>
      <c r="G81" s="15" t="n">
        <f aca="false">-1/F81</f>
        <v>-0.671721679061888</v>
      </c>
      <c r="H81" s="15" t="n">
        <f aca="false">IF(E81="","",E81*G81)</f>
        <v>-0.403033007437133</v>
      </c>
      <c r="I81" s="24" t="n">
        <f aca="false">IF(E81="",C81,($B$93/ABS($B$94))*E81*ABS(G81))</f>
        <v>0.562151350752331</v>
      </c>
      <c r="J81" s="24" t="str">
        <f aca="false">IF(E81="",C81/ABS(G81),"")</f>
        <v/>
      </c>
    </row>
    <row r="82" customFormat="false" ht="15" hidden="false" customHeight="false" outlineLevel="0" collapsed="false">
      <c r="A82" s="5" t="s">
        <v>248</v>
      </c>
      <c r="B82" s="20" t="n">
        <f aca="false">SUMIF($C$49:$C$60,A82,$H$49:$H$60)</f>
        <v>1.6045361215282</v>
      </c>
      <c r="C82" s="11" t="n">
        <f aca="false">B82/$H$61</f>
        <v>0.078</v>
      </c>
      <c r="D82" s="13"/>
      <c r="E82" s="15" t="str">
        <f aca="false">IF(D82="","",D82/SUM($D$78:$D$82))</f>
        <v/>
      </c>
      <c r="F82" s="15" t="n">
        <f aca="false">SUMIF($B$65:$B$73,A82,$I$65:$I$73)</f>
        <v>1.41666666666667</v>
      </c>
      <c r="G82" s="15" t="n">
        <f aca="false">-1/F82</f>
        <v>-0.705882352941177</v>
      </c>
      <c r="H82" s="15" t="str">
        <f aca="false">IF(E82="","",E82*G82)</f>
        <v/>
      </c>
      <c r="I82" s="24" t="n">
        <f aca="false">IF(E82="",C82,($B$93/ABS($B$94))*E82*ABS(G82))</f>
        <v>0.078</v>
      </c>
      <c r="J82" s="24" t="n">
        <f aca="false">IF(E82="",C82/ABS(G82),"")</f>
        <v>0.1105</v>
      </c>
    </row>
    <row r="84" customFormat="false" ht="15" hidden="false" customHeight="false" outlineLevel="0" collapsed="false">
      <c r="A84" s="18" t="s">
        <v>297</v>
      </c>
    </row>
    <row r="85" customFormat="false" ht="15" hidden="false" customHeight="false" outlineLevel="0" collapsed="false">
      <c r="A85" s="14" t="s">
        <v>298</v>
      </c>
      <c r="B85" s="20" t="n">
        <f aca="false">$H$61</f>
        <v>20.5709759170282</v>
      </c>
    </row>
    <row r="86" customFormat="false" ht="15" hidden="false" customHeight="false" outlineLevel="0" collapsed="false">
      <c r="A86" s="14" t="s">
        <v>299</v>
      </c>
      <c r="B86" s="15" t="n">
        <f aca="false">-1/B95</f>
        <v>-0.664318406156262</v>
      </c>
    </row>
    <row r="87" customFormat="false" ht="15" hidden="false" customHeight="false" outlineLevel="0" collapsed="false">
      <c r="A87" s="14" t="s">
        <v>300</v>
      </c>
      <c r="B87" s="15" t="n">
        <f aca="false">SUMPRODUCT(D65:D73/ABS(F65:F73))</f>
        <v>1.59688087923369</v>
      </c>
    </row>
    <row r="88" customFormat="false" ht="15" hidden="false" customHeight="false" outlineLevel="0" collapsed="false">
      <c r="A88" s="14" t="s">
        <v>301</v>
      </c>
      <c r="B88" s="15" t="n">
        <f aca="false">SUMPRODUCT(D65:D73,F65:F73)</f>
        <v>-0.764698955773841</v>
      </c>
    </row>
    <row r="89" customFormat="false" ht="15" hidden="false" customHeight="false" outlineLevel="0" collapsed="false">
      <c r="A89" s="14" t="s">
        <v>302</v>
      </c>
      <c r="B89" s="15" t="n">
        <f aca="false">-1/B87</f>
        <v>-0.626220786411995</v>
      </c>
    </row>
    <row r="90" customFormat="false" ht="15" hidden="false" customHeight="false" outlineLevel="0" collapsed="false">
      <c r="A90" s="14" t="s">
        <v>303</v>
      </c>
      <c r="B90" s="15" t="n">
        <f aca="false">$B$7*B95/(1+$B$7*B95)</f>
        <v>0.152999086924516</v>
      </c>
    </row>
    <row r="91" customFormat="false" ht="15" hidden="false" customHeight="false" outlineLevel="0" collapsed="false">
      <c r="A91" s="14" t="s">
        <v>304</v>
      </c>
      <c r="B91" s="15" t="n">
        <f aca="false">$B$8*B95/(1+$B$8*B95)</f>
        <v>0.575330441972756</v>
      </c>
    </row>
    <row r="92" customFormat="false" ht="15" hidden="false" customHeight="false" outlineLevel="0" collapsed="false">
      <c r="A92" s="14" t="s">
        <v>305</v>
      </c>
      <c r="B92" s="15" t="n">
        <f aca="false">SUM(M65:M73)</f>
        <v>0.575330441972756</v>
      </c>
    </row>
    <row r="93" customFormat="false" ht="15" hidden="false" customHeight="false" outlineLevel="0" collapsed="false">
      <c r="A93" s="14" t="s">
        <v>306</v>
      </c>
      <c r="B93" s="24" t="n">
        <f aca="false">SUMPRODUCT(--(E78:E82&lt;&gt;""),C78:C82)</f>
        <v>0.922</v>
      </c>
    </row>
    <row r="94" customFormat="false" ht="15" hidden="false" customHeight="false" outlineLevel="0" collapsed="false">
      <c r="A94" s="14" t="s">
        <v>307</v>
      </c>
      <c r="B94" s="15" t="n">
        <f aca="false">IF(B93=0,"",SUM(H78:H82))</f>
        <v>-0.661025598105789</v>
      </c>
    </row>
    <row r="95" customFormat="false" ht="15" hidden="false" customHeight="false" outlineLevel="0" collapsed="false">
      <c r="A95" s="14" t="s">
        <v>308</v>
      </c>
      <c r="B95" s="24" t="n">
        <f aca="false">SUM(J78:J82)+IF(B93=0,0,B93/ABS(B94))</f>
        <v>1.5053022627899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309</v>
      </c>
    </row>
    <row r="2" customFormat="false" ht="15" hidden="false" customHeight="false" outlineLevel="0" collapsed="false">
      <c r="A2" s="5" t="s">
        <v>310</v>
      </c>
    </row>
    <row r="3" customFormat="false" ht="15" hidden="false" customHeight="false" outlineLevel="0" collapsed="false">
      <c r="A3" s="5" t="s">
        <v>311</v>
      </c>
    </row>
    <row r="4" customFormat="false" ht="15" hidden="false" customHeight="false" outlineLevel="0" collapsed="false">
      <c r="A4" s="5" t="s">
        <v>312</v>
      </c>
    </row>
    <row r="5" customFormat="false" ht="15" hidden="false" customHeight="false" outlineLevel="0" collapsed="false">
      <c r="A5" s="5" t="s">
        <v>313</v>
      </c>
    </row>
    <row r="7" customFormat="false" ht="15" hidden="false" customHeight="false" outlineLevel="0" collapsed="false">
      <c r="A7" s="14" t="s">
        <v>123</v>
      </c>
      <c r="B7" s="10" t="n">
        <f aca="false">Assumptions!$C$9</f>
        <v>0.15</v>
      </c>
    </row>
    <row r="8" customFormat="false" ht="15" hidden="false" customHeight="false" outlineLevel="0" collapsed="false">
      <c r="A8" s="14" t="s">
        <v>124</v>
      </c>
      <c r="B8" s="10" t="n">
        <f aca="false">Assumptions!$D$9</f>
        <v>0.8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314</v>
      </c>
    </row>
    <row r="12" customFormat="false" ht="26.85" hidden="false" customHeight="false" outlineLevel="0" collapsed="false">
      <c r="A12" s="6" t="s">
        <v>128</v>
      </c>
      <c r="B12" s="6" t="s">
        <v>204</v>
      </c>
      <c r="C12" s="6" t="s">
        <v>132</v>
      </c>
      <c r="D12" s="6" t="s">
        <v>133</v>
      </c>
    </row>
    <row r="13" customFormat="false" ht="15" hidden="false" customHeight="false" outlineLevel="0" collapsed="false">
      <c r="A13" s="5" t="s">
        <v>315</v>
      </c>
      <c r="B13" s="28" t="n">
        <v>1400</v>
      </c>
      <c r="C13" s="5" t="s">
        <v>316</v>
      </c>
      <c r="D13" s="5" t="s">
        <v>317</v>
      </c>
    </row>
    <row r="14" customFormat="false" ht="15" hidden="false" customHeight="false" outlineLevel="0" collapsed="false">
      <c r="A14" s="5" t="s">
        <v>318</v>
      </c>
      <c r="B14" s="21" t="n">
        <v>0.63</v>
      </c>
      <c r="C14" s="5" t="s">
        <v>135</v>
      </c>
      <c r="D14" s="5" t="s">
        <v>319</v>
      </c>
    </row>
    <row r="15" customFormat="false" ht="15" hidden="false" customHeight="false" outlineLevel="0" collapsed="false">
      <c r="A15" s="5" t="s">
        <v>320</v>
      </c>
      <c r="B15" s="21" t="n">
        <v>0.114</v>
      </c>
      <c r="C15" s="5" t="s">
        <v>135</v>
      </c>
      <c r="D15" s="5" t="s">
        <v>321</v>
      </c>
    </row>
    <row r="16" customFormat="false" ht="15" hidden="false" customHeight="false" outlineLevel="0" collapsed="false">
      <c r="A16" s="5" t="s">
        <v>322</v>
      </c>
      <c r="B16" s="21" t="n">
        <v>6.7612</v>
      </c>
      <c r="C16" s="5" t="s">
        <v>167</v>
      </c>
      <c r="D16" s="5" t="s">
        <v>323</v>
      </c>
    </row>
    <row r="17" customFormat="false" ht="15" hidden="false" customHeight="false" outlineLevel="0" collapsed="false">
      <c r="A17" s="5" t="s">
        <v>324</v>
      </c>
      <c r="B17" s="21" t="n">
        <v>0.2962</v>
      </c>
      <c r="C17" s="5" t="s">
        <v>135</v>
      </c>
      <c r="D17" s="5" t="s">
        <v>325</v>
      </c>
    </row>
    <row r="18" customFormat="false" ht="15" hidden="false" customHeight="false" outlineLevel="0" collapsed="false">
      <c r="A18" s="5" t="s">
        <v>326</v>
      </c>
      <c r="B18" s="21" t="n">
        <v>3.374</v>
      </c>
      <c r="C18" s="5" t="s">
        <v>167</v>
      </c>
      <c r="D18" s="5" t="s">
        <v>325</v>
      </c>
    </row>
    <row r="19" customFormat="false" ht="15" hidden="false" customHeight="false" outlineLevel="0" collapsed="false">
      <c r="A19" s="5" t="s">
        <v>327</v>
      </c>
      <c r="B19" s="21" t="n">
        <v>0.2232</v>
      </c>
      <c r="C19" s="5" t="s">
        <v>135</v>
      </c>
      <c r="D19" s="5" t="s">
        <v>325</v>
      </c>
    </row>
    <row r="20" customFormat="false" ht="15" hidden="false" customHeight="false" outlineLevel="0" collapsed="false">
      <c r="A20" s="5" t="s">
        <v>328</v>
      </c>
      <c r="B20" s="21" t="n">
        <v>2.9522</v>
      </c>
      <c r="C20" s="5" t="s">
        <v>167</v>
      </c>
      <c r="D20" s="5" t="s">
        <v>325</v>
      </c>
    </row>
    <row r="21" customFormat="false" ht="15" hidden="false" customHeight="false" outlineLevel="0" collapsed="false">
      <c r="A21" s="5" t="s">
        <v>329</v>
      </c>
      <c r="B21" s="21" t="n">
        <v>0.2126</v>
      </c>
      <c r="C21" s="5" t="s">
        <v>135</v>
      </c>
      <c r="D21" s="5" t="s">
        <v>325</v>
      </c>
    </row>
    <row r="22" customFormat="false" ht="15" hidden="false" customHeight="false" outlineLevel="0" collapsed="false">
      <c r="A22" s="5" t="s">
        <v>330</v>
      </c>
      <c r="B22" s="21" t="n">
        <v>4.5003</v>
      </c>
      <c r="C22" s="5" t="s">
        <v>167</v>
      </c>
      <c r="D22" s="5" t="s">
        <v>325</v>
      </c>
    </row>
    <row r="23" customFormat="false" ht="15" hidden="false" customHeight="false" outlineLevel="0" collapsed="false">
      <c r="A23" s="5" t="s">
        <v>331</v>
      </c>
      <c r="B23" s="21" t="n">
        <v>0.0495</v>
      </c>
      <c r="C23" s="5" t="s">
        <v>135</v>
      </c>
      <c r="D23" s="5" t="s">
        <v>325</v>
      </c>
    </row>
    <row r="24" customFormat="false" ht="15" hidden="false" customHeight="false" outlineLevel="0" collapsed="false">
      <c r="A24" s="5" t="s">
        <v>332</v>
      </c>
      <c r="B24" s="21" t="n">
        <v>2.8783</v>
      </c>
      <c r="C24" s="5" t="s">
        <v>167</v>
      </c>
      <c r="D24" s="5" t="s">
        <v>325</v>
      </c>
    </row>
    <row r="25" customFormat="false" ht="15" hidden="false" customHeight="false" outlineLevel="0" collapsed="false">
      <c r="A25" s="5" t="s">
        <v>333</v>
      </c>
      <c r="B25" s="21" t="n">
        <v>0.071</v>
      </c>
      <c r="C25" s="5" t="s">
        <v>135</v>
      </c>
      <c r="D25" s="5" t="s">
        <v>325</v>
      </c>
    </row>
    <row r="26" customFormat="false" ht="15" hidden="false" customHeight="false" outlineLevel="0" collapsed="false">
      <c r="A26" s="5" t="s">
        <v>334</v>
      </c>
      <c r="B26" s="21" t="n">
        <v>2.2219</v>
      </c>
      <c r="C26" s="5" t="s">
        <v>167</v>
      </c>
      <c r="D26" s="5" t="s">
        <v>325</v>
      </c>
    </row>
    <row r="27" customFormat="false" ht="15" hidden="false" customHeight="false" outlineLevel="0" collapsed="false">
      <c r="A27" s="5" t="s">
        <v>335</v>
      </c>
      <c r="B27" s="21" t="n">
        <v>0.0335</v>
      </c>
      <c r="C27" s="5" t="s">
        <v>135</v>
      </c>
      <c r="D27" s="5" t="s">
        <v>325</v>
      </c>
    </row>
    <row r="28" customFormat="false" ht="15" hidden="false" customHeight="false" outlineLevel="0" collapsed="false">
      <c r="A28" s="5" t="s">
        <v>336</v>
      </c>
      <c r="B28" s="21" t="n">
        <v>1.6028</v>
      </c>
      <c r="C28" s="5" t="s">
        <v>167</v>
      </c>
      <c r="D28" s="5" t="s">
        <v>325</v>
      </c>
    </row>
    <row r="29" customFormat="false" ht="15" hidden="false" customHeight="false" outlineLevel="0" collapsed="false">
      <c r="A29" s="5" t="s">
        <v>337</v>
      </c>
      <c r="B29" s="21" t="n">
        <v>0.5</v>
      </c>
      <c r="C29" s="5" t="s">
        <v>135</v>
      </c>
      <c r="D29" s="5" t="s">
        <v>194</v>
      </c>
    </row>
    <row r="30" customFormat="false" ht="15" hidden="false" customHeight="false" outlineLevel="0" collapsed="false">
      <c r="A30" s="5" t="s">
        <v>338</v>
      </c>
      <c r="B30" s="21" t="n">
        <v>1.05</v>
      </c>
      <c r="C30" s="5" t="s">
        <v>339</v>
      </c>
      <c r="D30" s="5" t="s">
        <v>186</v>
      </c>
    </row>
    <row r="31" customFormat="false" ht="15" hidden="false" customHeight="false" outlineLevel="0" collapsed="false">
      <c r="A31" s="5" t="s">
        <v>340</v>
      </c>
      <c r="B31" s="21" t="n">
        <v>0.4</v>
      </c>
      <c r="C31" s="5" t="s">
        <v>135</v>
      </c>
      <c r="D31" s="5" t="s">
        <v>194</v>
      </c>
    </row>
    <row r="32" customFormat="false" ht="15" hidden="false" customHeight="false" outlineLevel="0" collapsed="false">
      <c r="A32" s="5" t="s">
        <v>341</v>
      </c>
      <c r="B32" s="21" t="n">
        <v>1.15</v>
      </c>
      <c r="C32" s="5" t="s">
        <v>339</v>
      </c>
      <c r="D32" s="5" t="s">
        <v>186</v>
      </c>
    </row>
    <row r="33" customFormat="false" ht="15" hidden="false" customHeight="false" outlineLevel="0" collapsed="false">
      <c r="A33" s="5" t="s">
        <v>342</v>
      </c>
      <c r="B33" s="21" t="n">
        <v>0.95</v>
      </c>
      <c r="C33" s="5" t="s">
        <v>339</v>
      </c>
      <c r="D33" s="5" t="s">
        <v>186</v>
      </c>
    </row>
    <row r="34" customFormat="false" ht="15" hidden="false" customHeight="false" outlineLevel="0" collapsed="false">
      <c r="A34" s="5" t="s">
        <v>343</v>
      </c>
      <c r="B34" s="21" t="n">
        <v>0.9</v>
      </c>
      <c r="C34" s="5" t="s">
        <v>339</v>
      </c>
      <c r="D34" s="5" t="s">
        <v>186</v>
      </c>
    </row>
    <row r="35" customFormat="false" ht="15" hidden="false" customHeight="false" outlineLevel="0" collapsed="false">
      <c r="A35" s="5" t="s">
        <v>344</v>
      </c>
      <c r="B35" s="21" t="n">
        <v>1.75</v>
      </c>
      <c r="C35" s="5" t="s">
        <v>345</v>
      </c>
      <c r="D35" s="5" t="s">
        <v>346</v>
      </c>
    </row>
    <row r="36" customFormat="false" ht="15" hidden="false" customHeight="false" outlineLevel="0" collapsed="false">
      <c r="A36" s="5" t="s">
        <v>347</v>
      </c>
      <c r="B36" s="21" t="n">
        <v>3.86</v>
      </c>
      <c r="C36" s="5" t="s">
        <v>345</v>
      </c>
      <c r="D36" s="5" t="s">
        <v>325</v>
      </c>
    </row>
    <row r="37" customFormat="false" ht="15" hidden="false" customHeight="false" outlineLevel="0" collapsed="false">
      <c r="A37" s="5" t="s">
        <v>348</v>
      </c>
      <c r="B37" s="21" t="n">
        <v>8.13</v>
      </c>
      <c r="C37" s="5" t="s">
        <v>345</v>
      </c>
      <c r="D37" s="5" t="s">
        <v>349</v>
      </c>
    </row>
    <row r="38" customFormat="false" ht="15" hidden="false" customHeight="false" outlineLevel="0" collapsed="false">
      <c r="A38" s="5" t="s">
        <v>350</v>
      </c>
      <c r="B38" s="21" t="n">
        <v>1.38</v>
      </c>
      <c r="C38" s="5" t="s">
        <v>345</v>
      </c>
      <c r="D38" s="5" t="s">
        <v>325</v>
      </c>
    </row>
    <row r="40" customFormat="false" ht="15" hidden="false" customHeight="false" outlineLevel="0" collapsed="false">
      <c r="A40" s="18" t="s">
        <v>196</v>
      </c>
    </row>
    <row r="41" customFormat="false" ht="72" hidden="false" customHeight="true" outlineLevel="0" collapsed="false">
      <c r="A41" s="6" t="s">
        <v>197</v>
      </c>
      <c r="B41" s="6" t="s">
        <v>198</v>
      </c>
      <c r="C41" s="6" t="s">
        <v>199</v>
      </c>
      <c r="D41" s="6" t="s">
        <v>200</v>
      </c>
      <c r="E41" s="6" t="s">
        <v>201</v>
      </c>
      <c r="F41" s="6" t="s">
        <v>202</v>
      </c>
      <c r="G41" s="6" t="s">
        <v>203</v>
      </c>
      <c r="H41" s="6" t="s">
        <v>204</v>
      </c>
      <c r="I41" s="6" t="s">
        <v>27</v>
      </c>
      <c r="J41" s="6" t="s">
        <v>205</v>
      </c>
      <c r="K41" s="6" t="s">
        <v>206</v>
      </c>
      <c r="L41" s="6" t="s">
        <v>29</v>
      </c>
      <c r="M41" s="6" t="s">
        <v>30</v>
      </c>
      <c r="N41" s="6" t="s">
        <v>207</v>
      </c>
      <c r="O41" s="6" t="s">
        <v>208</v>
      </c>
      <c r="P41" s="6" t="s">
        <v>209</v>
      </c>
      <c r="Q41" s="6" t="s">
        <v>210</v>
      </c>
      <c r="R41" s="6" t="s">
        <v>211</v>
      </c>
      <c r="S41" s="6" t="s">
        <v>212</v>
      </c>
      <c r="T41" s="6" t="s">
        <v>213</v>
      </c>
      <c r="U41" s="6" t="s">
        <v>214</v>
      </c>
      <c r="V41" s="6" t="s">
        <v>215</v>
      </c>
      <c r="W41" s="6" t="s">
        <v>133</v>
      </c>
    </row>
    <row r="42" customFormat="false" ht="15" hidden="false" customHeight="false" outlineLevel="0" collapsed="false">
      <c r="A42" s="2" t="s">
        <v>351</v>
      </c>
      <c r="B42" s="5" t="s">
        <v>352</v>
      </c>
      <c r="C42" s="5" t="s">
        <v>353</v>
      </c>
      <c r="D42" s="20" t="n">
        <f aca="false">$B$13*$B$14*($B$15+$B$21)</f>
        <v>288.0612</v>
      </c>
      <c r="E42" s="5"/>
      <c r="F42" s="22" t="n">
        <f aca="false">($B$15*$B$16+$B$21*$B$22)/($B$15+$B$21)</f>
        <v>5.28946901408451</v>
      </c>
      <c r="G42" s="5"/>
      <c r="H42" s="20" t="n">
        <f aca="false">D42*F42</f>
        <v>1523.69079156</v>
      </c>
      <c r="I42" s="11" t="n">
        <f aca="false">H42/$H$50</f>
        <v>0.434079965079031</v>
      </c>
      <c r="J42" s="23" t="n">
        <v>0.2</v>
      </c>
      <c r="K42" s="15" t="n">
        <f aca="false">IF(SUMIF($B$42:$B$49,B42,$H$42:$H$49)=0,0,H42/SUMIF($B$42:$B$49,B42,$H$42:$H$49))</f>
        <v>1</v>
      </c>
      <c r="L42" s="24" t="n">
        <f aca="false">K42*INDEX($L$54:$L$57,MATCH(B42,$A$54:$A$57,0))</f>
        <v>0.0563539814813711</v>
      </c>
      <c r="M42" s="24" t="n">
        <f aca="false">K42*INDEX($M$54:$M$57,MATCH(B42,$A$54:$A$57,0))</f>
        <v>0.189880308399777</v>
      </c>
      <c r="N42" s="24" t="n">
        <f aca="false">K42*INDEX($N$54:$N$57,MATCH(B42,$A$54:$A$57,0))</f>
        <v>0.418967182340482</v>
      </c>
      <c r="O42" s="24" t="n">
        <f aca="false">K42*INDEX($O$54:$O$57,MATCH(B42,$A$54:$A$57,0))</f>
        <v>0.189880308399777</v>
      </c>
      <c r="P42" s="24" t="n">
        <f aca="false">K42*INDEX($P$54:$P$57,MATCH(B42,$A$54:$A$57,0))</f>
        <v>0.190011086070382</v>
      </c>
      <c r="Q42" s="11" t="n">
        <f aca="false">INDEX($Q$54:$Q$57,MATCH(B42,$A$54:$A$57,0))*K42*$B$9</f>
        <v>-0.0810119691600223</v>
      </c>
      <c r="R42" s="25" t="n">
        <f aca="false">INDEX($R$54:$R$57,MATCH(B42,$A$54:$A$57,0))*K42*$B$9</f>
        <v>-0.0237350385499721</v>
      </c>
      <c r="S42" s="11" t="str">
        <f aca="false">IF(INDEX($S$54:$S$57,MATCH(B42,$A$54:$A$57,0))="","no external floor",INDEX($S$54:$S$57,MATCH(B42,$A$54:$A$57,0))/K42)</f>
        <v>no external floor</v>
      </c>
      <c r="T42" s="25" t="n">
        <f aca="false">INDEX($M$54:$M$57,MATCH(B42,$A$54:$A$57,0))*IF(INDEX($S$54:$S$57,MATCH(B42,$A$54:$A$57,0))="",-K42,MAX(-K42,INDEX($S$54:$S$57,MATCH(B42,$A$54:$A$57,0))))</f>
        <v>-0.189880308399777</v>
      </c>
      <c r="U42" s="22" t="n">
        <f aca="false">IF(D42=0,"",M42/D42*1400)</f>
        <v>0.922833174893696</v>
      </c>
      <c r="V42" s="22" t="n">
        <f aca="false">IF(OR(J42="",J42=0),"",U42/J42)</f>
        <v>4.61416587446848</v>
      </c>
      <c r="W42" s="2" t="s">
        <v>354</v>
      </c>
    </row>
    <row r="43" customFormat="false" ht="23.85" hidden="false" customHeight="false" outlineLevel="0" collapsed="false">
      <c r="A43" s="2" t="s">
        <v>355</v>
      </c>
      <c r="B43" s="5" t="s">
        <v>356</v>
      </c>
      <c r="C43" s="5" t="s">
        <v>353</v>
      </c>
      <c r="D43" s="20" t="n">
        <f aca="false">$B$13*$B$14*($B$17+$B$19)*$B$29</f>
        <v>229.0554</v>
      </c>
      <c r="E43" s="5"/>
      <c r="F43" s="22" t="n">
        <f aca="false">($B$17*$B$18+$B$19*$B$20)/($B$17+$B$19)*$B$30</f>
        <v>3.35237838274933</v>
      </c>
      <c r="G43" s="5"/>
      <c r="H43" s="20" t="n">
        <f aca="false">D43*F43</f>
        <v>767.880371412</v>
      </c>
      <c r="I43" s="11" t="n">
        <f aca="false">H43/$H$50</f>
        <v>0.218759269698106</v>
      </c>
      <c r="J43" s="23" t="n">
        <v>0.2</v>
      </c>
      <c r="K43" s="15" t="n">
        <f aca="false">IF(SUMIF($B$42:$B$49,B43,$H$42:$H$49)=0,0,H43/SUMIF($B$42:$B$49,B43,$H$42:$H$49))</f>
        <v>0.842459392560257</v>
      </c>
      <c r="L43" s="24" t="n">
        <f aca="false">K43*INDEX($L$54:$L$57,MATCH(B43,$A$54:$A$57,0))</f>
        <v>0.0315557726819625</v>
      </c>
      <c r="M43" s="24" t="n">
        <f aca="false">K43*INDEX($M$54:$M$57,MATCH(B43,$A$54:$A$57,0))</f>
        <v>0.106324694212156</v>
      </c>
      <c r="N43" s="24" t="n">
        <f aca="false">K43*INDEX($N$54:$N$57,MATCH(B43,$A$54:$A$57,0))</f>
        <v>0.234603355780798</v>
      </c>
      <c r="O43" s="24" t="n">
        <f aca="false">K43*INDEX($O$54:$O$57,MATCH(B43,$A$54:$A$57,0))</f>
        <v>0.106324694212156</v>
      </c>
      <c r="P43" s="24" t="n">
        <f aca="false">K43*INDEX($P$54:$P$57,MATCH(B43,$A$54:$A$57,0))</f>
        <v>0.0957581316053896</v>
      </c>
      <c r="Q43" s="11" t="n">
        <f aca="false">INDEX($Q$54:$Q$57,MATCH(B43,$A$54:$A$57,0))*K43*$B$9</f>
        <v>-0.0817927442609</v>
      </c>
      <c r="R43" s="25" t="n">
        <f aca="false">INDEX($R$54:$R$57,MATCH(B43,$A$54:$A$57,0))*K43*$B$9</f>
        <v>-0.0132905867765195</v>
      </c>
      <c r="S43" s="11" t="str">
        <f aca="false">IF(INDEX($S$54:$S$57,MATCH(B43,$A$54:$A$57,0))="","no external floor",INDEX($S$54:$S$57,MATCH(B43,$A$54:$A$57,0))/K43)</f>
        <v>no external floor</v>
      </c>
      <c r="T43" s="25" t="n">
        <f aca="false">INDEX($M$54:$M$57,MATCH(B43,$A$54:$A$57,0))*IF(INDEX($S$54:$S$57,MATCH(B43,$A$54:$A$57,0))="",-K43,MAX(-K43,INDEX($S$54:$S$57,MATCH(B43,$A$54:$A$57,0))))</f>
        <v>-0.106324694212156</v>
      </c>
      <c r="U43" s="22" t="n">
        <f aca="false">IF(D43=0,"",M43/D43*1400)</f>
        <v>0.649862748911481</v>
      </c>
      <c r="V43" s="22" t="n">
        <f aca="false">IF(OR(J43="",J43=0),"",U43/J43)</f>
        <v>3.24931374455741</v>
      </c>
      <c r="W43" s="2" t="s">
        <v>357</v>
      </c>
    </row>
    <row r="44" customFormat="false" ht="15" hidden="false" customHeight="false" outlineLevel="0" collapsed="false">
      <c r="A44" s="2" t="s">
        <v>358</v>
      </c>
      <c r="B44" s="5" t="s">
        <v>356</v>
      </c>
      <c r="C44" s="5" t="s">
        <v>353</v>
      </c>
      <c r="D44" s="20" t="n">
        <f aca="false">$B$13*$B$14*($B$23+$B$25+$B$27)*$B$31</f>
        <v>54.3312</v>
      </c>
      <c r="E44" s="5"/>
      <c r="F44" s="22" t="n">
        <f aca="false">($B$23*$B$24+$B$25*$B$26+$B$27*$B$28)/($B$23+$B$25+$B$27)*$B$32</f>
        <v>2.64294306818182</v>
      </c>
      <c r="G44" s="5"/>
      <c r="H44" s="20" t="n">
        <f aca="false">D44*F44</f>
        <v>143.594268426</v>
      </c>
      <c r="I44" s="11" t="n">
        <f aca="false">H44/$H$50</f>
        <v>0.0409081654684612</v>
      </c>
      <c r="J44" s="23" t="n">
        <v>0.19</v>
      </c>
      <c r="K44" s="15" t="n">
        <f aca="false">IF(SUMIF($B$42:$B$49,B44,$H$42:$H$49)=0,0,H44/SUMIF($B$42:$B$49,B44,$H$42:$H$49))</f>
        <v>0.157540607439744</v>
      </c>
      <c r="L44" s="24" t="n">
        <f aca="false">K44*INDEX($L$54:$L$57,MATCH(B44,$A$54:$A$57,0))</f>
        <v>0.00590095574985387</v>
      </c>
      <c r="M44" s="24" t="n">
        <f aca="false">K44*INDEX($M$54:$M$57,MATCH(B44,$A$54:$A$57,0))</f>
        <v>0.0198828062930404</v>
      </c>
      <c r="N44" s="24" t="n">
        <f aca="false">K44*INDEX($N$54:$N$57,MATCH(B44,$A$54:$A$57,0))</f>
        <v>0.0438710227501744</v>
      </c>
      <c r="O44" s="24" t="n">
        <f aca="false">K44*INDEX($O$54:$O$57,MATCH(B44,$A$54:$A$57,0))</f>
        <v>0.0198828062930404</v>
      </c>
      <c r="P44" s="24" t="n">
        <f aca="false">K44*INDEX($P$54:$P$57,MATCH(B44,$A$54:$A$57,0))</f>
        <v>0.017906850292881</v>
      </c>
      <c r="Q44" s="11" t="n">
        <f aca="false">INDEX($Q$54:$Q$57,MATCH(B44,$A$54:$A$57,0))*K44*$B$9</f>
        <v>-0.0152953112385226</v>
      </c>
      <c r="R44" s="25" t="n">
        <f aca="false">INDEX($R$54:$R$57,MATCH(B44,$A$54:$A$57,0))*K44*$B$9</f>
        <v>-0.00248535078663006</v>
      </c>
      <c r="S44" s="11" t="str">
        <f aca="false">IF(INDEX($S$54:$S$57,MATCH(B44,$A$54:$A$57,0))="","no external floor",INDEX($S$54:$S$57,MATCH(B44,$A$54:$A$57,0))/K44)</f>
        <v>no external floor</v>
      </c>
      <c r="T44" s="25" t="n">
        <f aca="false">INDEX($M$54:$M$57,MATCH(B44,$A$54:$A$57,0))*IF(INDEX($S$54:$S$57,MATCH(B44,$A$54:$A$57,0))="",-K44,MAX(-K44,INDEX($S$54:$S$57,MATCH(B44,$A$54:$A$57,0))))</f>
        <v>-0.0198828062930404</v>
      </c>
      <c r="U44" s="22" t="n">
        <f aca="false">IF(D44=0,"",M44/D44*1400)</f>
        <v>0.512337824495992</v>
      </c>
      <c r="V44" s="22" t="n">
        <f aca="false">IF(OR(J44="",J44=0),"",U44/J44)</f>
        <v>2.69651486576838</v>
      </c>
      <c r="W44" s="2" t="s">
        <v>194</v>
      </c>
    </row>
    <row r="45" customFormat="false" ht="15" hidden="false" customHeight="false" outlineLevel="0" collapsed="false">
      <c r="A45" s="2" t="s">
        <v>359</v>
      </c>
      <c r="B45" s="5" t="s">
        <v>360</v>
      </c>
      <c r="C45" s="5" t="s">
        <v>353</v>
      </c>
      <c r="D45" s="20" t="n">
        <f aca="false">$B$13*$B$14*(($B$17+$B$19)*(1-$B$29)+($B$23+$B$25+$B$27)*(1-$B$31))</f>
        <v>310.5522</v>
      </c>
      <c r="E45" s="5"/>
      <c r="F45" s="22" t="n">
        <f aca="false">(($B$17*$B$18+$B$19*$B$20)*(1-$B$29)*$B$33+($B$23*$B$24+$B$25*$B$26+$B$27*$B$28)*(1-$B$31)*$B$34)/(($B$17+$B$19)*(1-$B$29)+($B$23+$B$25+$B$27)*(1-$B$31))</f>
        <v>2.77993874183471</v>
      </c>
      <c r="G45" s="5"/>
      <c r="H45" s="20" t="n">
        <f aca="false">D45*F45</f>
        <v>863.316092142</v>
      </c>
      <c r="I45" s="11" t="n">
        <f aca="false">H45/$H$50</f>
        <v>0.245947682564575</v>
      </c>
      <c r="J45" s="23" t="n">
        <v>0.17</v>
      </c>
      <c r="K45" s="15" t="n">
        <f aca="false">IF(SUMIF($B$42:$B$49,B45,$H$42:$H$49)=0,0,H45/SUMIF($B$42:$B$49,B45,$H$42:$H$49))</f>
        <v>1</v>
      </c>
      <c r="L45" s="24" t="n">
        <f aca="false">K45*INDEX($L$54:$L$57,MATCH(B45,$A$54:$A$57,0))</f>
        <v>0.037564591681808</v>
      </c>
      <c r="M45" s="24" t="n">
        <f aca="false">K45*INDEX($M$54:$M$57,MATCH(B45,$A$54:$A$57,0))</f>
        <v>0.126570937242674</v>
      </c>
      <c r="N45" s="24" t="n">
        <f aca="false">K45*INDEX($N$54:$N$57,MATCH(B45,$A$54:$A$57,0))</f>
        <v>0.279276294575574</v>
      </c>
      <c r="O45" s="24" t="n">
        <f aca="false">K45*INDEX($O$54:$O$57,MATCH(B45,$A$54:$A$57,0))</f>
        <v>0.126570937242674</v>
      </c>
      <c r="P45" s="24" t="n">
        <f aca="false">K45*INDEX($P$54:$P$57,MATCH(B45,$A$54:$A$57,0))</f>
        <v>0.107659394674159</v>
      </c>
      <c r="Q45" s="11" t="n">
        <f aca="false">INDEX($Q$54:$Q$57,MATCH(B45,$A$54:$A$57,0))*K45*$B$9</f>
        <v>-0.102756360324391</v>
      </c>
      <c r="R45" s="25" t="n">
        <f aca="false">INDEX($R$54:$R$57,MATCH(B45,$A$54:$A$57,0))*K45*$B$9</f>
        <v>-0.0158213671553342</v>
      </c>
      <c r="S45" s="11" t="n">
        <f aca="false">IF(INDEX($S$54:$S$57,MATCH(B45,$A$54:$A$57,0))="","no external floor",INDEX($S$54:$S$57,MATCH(B45,$A$54:$A$57,0))/K45)</f>
        <v>-0.690153157474659</v>
      </c>
      <c r="T45" s="25" t="n">
        <f aca="false">INDEX($M$54:$M$57,MATCH(B45,$A$54:$A$57,0))*IF(INDEX($S$54:$S$57,MATCH(B45,$A$54:$A$57,0))="",-K45,MAX(-K45,INDEX($S$54:$S$57,MATCH(B45,$A$54:$A$57,0))))</f>
        <v>-0.0873533319825581</v>
      </c>
      <c r="U45" s="22" t="n">
        <f aca="false">IF(D45=0,"",M45/D45*1400)</f>
        <v>0.570594290234437</v>
      </c>
      <c r="V45" s="22" t="n">
        <f aca="false">IF(OR(J45="",J45=0),"",U45/J45)</f>
        <v>3.35643700137904</v>
      </c>
      <c r="W45" s="2" t="s">
        <v>361</v>
      </c>
    </row>
    <row r="46" customFormat="false" ht="15" hidden="false" customHeight="false" outlineLevel="0" collapsed="false">
      <c r="A46" s="2" t="s">
        <v>362</v>
      </c>
      <c r="B46" s="5" t="s">
        <v>363</v>
      </c>
      <c r="C46" s="5" t="s">
        <v>353</v>
      </c>
      <c r="D46" s="20" t="n">
        <f aca="false">1</f>
        <v>1</v>
      </c>
      <c r="E46" s="5"/>
      <c r="F46" s="22" t="n">
        <f aca="false">$B$35*$B$13/100</f>
        <v>24.5</v>
      </c>
      <c r="G46" s="5"/>
      <c r="H46" s="20" t="n">
        <f aca="false">D46*F46</f>
        <v>24.5</v>
      </c>
      <c r="I46" s="11" t="n">
        <f aca="false">H46/$H$50</f>
        <v>0.00697973578585972</v>
      </c>
      <c r="J46" s="23"/>
      <c r="K46" s="15" t="n">
        <f aca="false">IF(SUMIF($B$42:$B$49,B46,$H$42:$H$49)=0,0,H46/SUMIF($B$42:$B$49,B46,$H$42:$H$49))</f>
        <v>0.115740740740741</v>
      </c>
      <c r="L46" s="24" t="n">
        <f aca="false">K46*INDEX($L$54:$L$57,MATCH(B46,$A$54:$A$57,0))</f>
        <v>0.000362454785168064</v>
      </c>
      <c r="M46" s="24" t="n">
        <f aca="false">K46*INDEX($M$54:$M$57,MATCH(B46,$A$54:$A$57,0))</f>
        <v>0.00122126289180539</v>
      </c>
      <c r="N46" s="24" t="n">
        <f aca="false">K46*INDEX($N$54:$N$57,MATCH(B46,$A$54:$A$57,0))</f>
        <v>0.00269469265659406</v>
      </c>
      <c r="O46" s="24" t="n">
        <f aca="false">K46*INDEX($O$54:$O$57,MATCH(B46,$A$54:$A$57,0))</f>
        <v>0.00122126289180539</v>
      </c>
      <c r="P46" s="24" t="n">
        <f aca="false">K46*INDEX($P$54:$P$57,MATCH(B46,$A$54:$A$57,0))</f>
        <v>0.00305526005309657</v>
      </c>
      <c r="Q46" s="11" t="n">
        <f aca="false">INDEX($Q$54:$Q$57,MATCH(B46,$A$54:$A$57,0))*K46*$B$9</f>
        <v>-0.00458077911395741</v>
      </c>
      <c r="R46" s="25" t="n">
        <f aca="false">INDEX($R$54:$R$57,MATCH(B46,$A$54:$A$57,0))*K46*$B$9</f>
        <v>-0.000152657861475674</v>
      </c>
      <c r="S46" s="11" t="n">
        <f aca="false">IF(INDEX($S$54:$S$57,MATCH(B46,$A$54:$A$57,0))="","no external floor",INDEX($S$54:$S$57,MATCH(B46,$A$54:$A$57,0))/K46)</f>
        <v>-7.78679301147569</v>
      </c>
      <c r="T46" s="25" t="n">
        <f aca="false">INDEX($M$54:$M$57,MATCH(B46,$A$54:$A$57,0))*IF(INDEX($S$54:$S$57,MATCH(B46,$A$54:$A$57,0))="",-K46,MAX(-K46,INDEX($S$54:$S$57,MATCH(B46,$A$54:$A$57,0))))</f>
        <v>-0.00122126289180539</v>
      </c>
      <c r="U46" s="22" t="n">
        <f aca="false">IF(D46=0,"",M46/D46*1400)</f>
        <v>1.70976804852755</v>
      </c>
      <c r="V46" s="22" t="str">
        <f aca="false">IF(OR(J46="",J46=0),"",U46/J46)</f>
        <v/>
      </c>
      <c r="W46" s="2" t="s">
        <v>364</v>
      </c>
    </row>
    <row r="47" customFormat="false" ht="15" hidden="false" customHeight="false" outlineLevel="0" collapsed="false">
      <c r="A47" s="2" t="s">
        <v>365</v>
      </c>
      <c r="B47" s="5" t="s">
        <v>363</v>
      </c>
      <c r="C47" s="5" t="s">
        <v>353</v>
      </c>
      <c r="D47" s="20" t="n">
        <f aca="false">1</f>
        <v>1</v>
      </c>
      <c r="E47" s="5"/>
      <c r="F47" s="22" t="n">
        <f aca="false">$B$36*$B$13/100</f>
        <v>54.04</v>
      </c>
      <c r="G47" s="5"/>
      <c r="H47" s="20" t="n">
        <f aca="false">D47*F47</f>
        <v>54.04</v>
      </c>
      <c r="I47" s="11" t="n">
        <f aca="false">H47/$H$50</f>
        <v>0.015395302933382</v>
      </c>
      <c r="J47" s="23"/>
      <c r="K47" s="15" t="n">
        <f aca="false">IF(SUMIF($B$42:$B$49,B47,$H$42:$H$49)=0,0,H47/SUMIF($B$42:$B$49,B47,$H$42:$H$49))</f>
        <v>0.255291005291005</v>
      </c>
      <c r="L47" s="24" t="n">
        <f aca="false">K47*INDEX($L$54:$L$57,MATCH(B47,$A$54:$A$57,0))</f>
        <v>0.000799471697570701</v>
      </c>
      <c r="M47" s="24" t="n">
        <f aca="false">K47*INDEX($M$54:$M$57,MATCH(B47,$A$54:$A$57,0))</f>
        <v>0.0026937570070679</v>
      </c>
      <c r="N47" s="24" t="n">
        <f aca="false">K47*INDEX($N$54:$N$57,MATCH(B47,$A$54:$A$57,0))</f>
        <v>0.0059437220882589</v>
      </c>
      <c r="O47" s="24" t="n">
        <f aca="false">K47*INDEX($O$54:$O$57,MATCH(B47,$A$54:$A$57,0))</f>
        <v>0.0026937570070679</v>
      </c>
      <c r="P47" s="24" t="n">
        <f aca="false">K47*INDEX($P$54:$P$57,MATCH(B47,$A$54:$A$57,0))</f>
        <v>0.0067390307456873</v>
      </c>
      <c r="Q47" s="11" t="n">
        <f aca="false">INDEX($Q$54:$Q$57,MATCH(B47,$A$54:$A$57,0))*K47*$B$9</f>
        <v>-0.0101038899313575</v>
      </c>
      <c r="R47" s="25" t="n">
        <f aca="false">INDEX($R$54:$R$57,MATCH(B47,$A$54:$A$57,0))*K47*$B$9</f>
        <v>-0.000336719625883487</v>
      </c>
      <c r="S47" s="11" t="n">
        <f aca="false">IF(INDEX($S$54:$S$57,MATCH(B47,$A$54:$A$57,0))="","no external floor",INDEX($S$54:$S$57,MATCH(B47,$A$54:$A$57,0))/K47)</f>
        <v>-3.53028180572084</v>
      </c>
      <c r="T47" s="25" t="n">
        <f aca="false">INDEX($M$54:$M$57,MATCH(B47,$A$54:$A$57,0))*IF(INDEX($S$54:$S$57,MATCH(B47,$A$54:$A$57,0))="",-K47,MAX(-K47,INDEX($S$54:$S$57,MATCH(B47,$A$54:$A$57,0))))</f>
        <v>-0.0026937570070679</v>
      </c>
      <c r="U47" s="22" t="n">
        <f aca="false">IF(D47=0,"",M47/D47*1400)</f>
        <v>3.77125980989506</v>
      </c>
      <c r="V47" s="22" t="str">
        <f aca="false">IF(OR(J47="",J47=0),"",U47/J47)</f>
        <v/>
      </c>
      <c r="W47" s="2" t="s">
        <v>325</v>
      </c>
    </row>
    <row r="48" customFormat="false" ht="15" hidden="false" customHeight="false" outlineLevel="0" collapsed="false">
      <c r="A48" s="2" t="s">
        <v>366</v>
      </c>
      <c r="B48" s="5" t="s">
        <v>363</v>
      </c>
      <c r="C48" s="5" t="s">
        <v>353</v>
      </c>
      <c r="D48" s="20" t="n">
        <f aca="false">1</f>
        <v>1</v>
      </c>
      <c r="E48" s="5"/>
      <c r="F48" s="22" t="n">
        <f aca="false">$B$37*$B$13/100</f>
        <v>113.82</v>
      </c>
      <c r="G48" s="5"/>
      <c r="H48" s="20" t="n">
        <f aca="false">D48*F48</f>
        <v>113.82</v>
      </c>
      <c r="I48" s="11" t="n">
        <f aca="false">H48/$H$50</f>
        <v>0.0324258582508797</v>
      </c>
      <c r="J48" s="23"/>
      <c r="K48" s="15" t="n">
        <f aca="false">IF(SUMIF($B$42:$B$49,B48,$H$42:$H$49)=0,0,H48/SUMIF($B$42:$B$49,B48,$H$42:$H$49))</f>
        <v>0.537698412698413</v>
      </c>
      <c r="L48" s="24" t="n">
        <f aca="false">K48*INDEX($L$54:$L$57,MATCH(B48,$A$54:$A$57,0))</f>
        <v>0.00168386137338078</v>
      </c>
      <c r="M48" s="24" t="n">
        <f aca="false">K48*INDEX($M$54:$M$57,MATCH(B48,$A$54:$A$57,0))</f>
        <v>0.00567363846307306</v>
      </c>
      <c r="N48" s="24" t="n">
        <f aca="false">K48*INDEX($N$54:$N$57,MATCH(B48,$A$54:$A$57,0))</f>
        <v>0.0125187721703484</v>
      </c>
      <c r="O48" s="24" t="n">
        <f aca="false">K48*INDEX($O$54:$O$57,MATCH(B48,$A$54:$A$57,0))</f>
        <v>0.00567363846307306</v>
      </c>
      <c r="P48" s="24" t="n">
        <f aca="false">K48*INDEX($P$54:$P$57,MATCH(B48,$A$54:$A$57,0))</f>
        <v>0.0141938652752429</v>
      </c>
      <c r="Q48" s="11" t="n">
        <f aca="false">INDEX($Q$54:$Q$57,MATCH(B48,$A$54:$A$57,0))*K48*$B$9</f>
        <v>-0.0212809909694136</v>
      </c>
      <c r="R48" s="25" t="n">
        <f aca="false">INDEX($R$54:$R$57,MATCH(B48,$A$54:$A$57,0))*K48*$B$9</f>
        <v>-0.000709204807884132</v>
      </c>
      <c r="S48" s="11" t="n">
        <f aca="false">IF(INDEX($S$54:$S$57,MATCH(B48,$A$54:$A$57,0))="","no external floor",INDEX($S$54:$S$57,MATCH(B48,$A$54:$A$57,0))/K48)</f>
        <v>-1.67612395695971</v>
      </c>
      <c r="T48" s="25" t="n">
        <f aca="false">INDEX($M$54:$M$57,MATCH(B48,$A$54:$A$57,0))*IF(INDEX($S$54:$S$57,MATCH(B48,$A$54:$A$57,0))="",-K48,MAX(-K48,INDEX($S$54:$S$57,MATCH(B48,$A$54:$A$57,0))))</f>
        <v>-0.00567363846307306</v>
      </c>
      <c r="U48" s="22" t="n">
        <f aca="false">IF(D48=0,"",M48/D48*1400)</f>
        <v>7.94309384830228</v>
      </c>
      <c r="V48" s="22" t="str">
        <f aca="false">IF(OR(J48="",J48=0),"",U48/J48)</f>
        <v/>
      </c>
      <c r="W48" s="2" t="s">
        <v>325</v>
      </c>
    </row>
    <row r="49" customFormat="false" ht="15" hidden="false" customHeight="false" outlineLevel="0" collapsed="false">
      <c r="A49" s="2" t="s">
        <v>367</v>
      </c>
      <c r="B49" s="5" t="s">
        <v>363</v>
      </c>
      <c r="C49" s="5" t="s">
        <v>353</v>
      </c>
      <c r="D49" s="20" t="n">
        <f aca="false">1</f>
        <v>1</v>
      </c>
      <c r="E49" s="5"/>
      <c r="F49" s="22" t="n">
        <f aca="false">$B$38*$B$13/100</f>
        <v>19.32</v>
      </c>
      <c r="G49" s="5"/>
      <c r="H49" s="20" t="n">
        <f aca="false">D49*F49</f>
        <v>19.32</v>
      </c>
      <c r="I49" s="11" t="n">
        <f aca="false">H49/$H$50</f>
        <v>0.00550402021970652</v>
      </c>
      <c r="J49" s="23"/>
      <c r="K49" s="15" t="n">
        <f aca="false">IF(SUMIF($B$42:$B$49,B49,$H$42:$H$49)=0,0,H49/SUMIF($B$42:$B$49,B49,$H$42:$H$49))</f>
        <v>0.0912698412698413</v>
      </c>
      <c r="L49" s="24" t="n">
        <f aca="false">K49*INDEX($L$54:$L$57,MATCH(B49,$A$54:$A$57,0))</f>
        <v>0.00028582148773253</v>
      </c>
      <c r="M49" s="24" t="n">
        <f aca="false">K49*INDEX($M$54:$M$57,MATCH(B49,$A$54:$A$57,0))</f>
        <v>0.000963053023252253</v>
      </c>
      <c r="N49" s="24" t="n">
        <f aca="false">K49*INDEX($N$54:$N$57,MATCH(B49,$A$54:$A$57,0))</f>
        <v>0.00212495763777131</v>
      </c>
      <c r="O49" s="24" t="n">
        <f aca="false">K49*INDEX($O$54:$O$57,MATCH(B49,$A$54:$A$57,0))</f>
        <v>0.000963053023252253</v>
      </c>
      <c r="P49" s="24" t="n">
        <f aca="false">K49*INDEX($P$54:$P$57,MATCH(B49,$A$54:$A$57,0))</f>
        <v>0.00240929078472758</v>
      </c>
      <c r="Q49" s="11" t="n">
        <f aca="false">INDEX($Q$54:$Q$57,MATCH(B49,$A$54:$A$57,0))*K49*$B$9</f>
        <v>-0.00361227152986356</v>
      </c>
      <c r="R49" s="25" t="n">
        <f aca="false">INDEX($R$54:$R$57,MATCH(B49,$A$54:$A$57,0))*K49*$B$9</f>
        <v>-0.000120381627906532</v>
      </c>
      <c r="S49" s="11" t="n">
        <f aca="false">IF(INDEX($S$54:$S$57,MATCH(B49,$A$54:$A$57,0))="","no external floor",INDEX($S$54:$S$57,MATCH(B49,$A$54:$A$57,0))/K49)</f>
        <v>-9.87455635513222</v>
      </c>
      <c r="T49" s="25" t="n">
        <f aca="false">INDEX($M$54:$M$57,MATCH(B49,$A$54:$A$57,0))*IF(INDEX($S$54:$S$57,MATCH(B49,$A$54:$A$57,0))="",-K49,MAX(-K49,INDEX($S$54:$S$57,MATCH(B49,$A$54:$A$57,0))))</f>
        <v>-0.000963053023252253</v>
      </c>
      <c r="U49" s="22" t="n">
        <f aca="false">IF(D49=0,"",M49/D49*1400)</f>
        <v>1.34827423255315</v>
      </c>
      <c r="V49" s="22" t="str">
        <f aca="false">IF(OR(J49="",J49=0),"",U49/J49)</f>
        <v/>
      </c>
      <c r="W49" s="2" t="s">
        <v>325</v>
      </c>
    </row>
    <row r="50" customFormat="false" ht="15" hidden="false" customHeight="false" outlineLevel="0" collapsed="false">
      <c r="A50" s="14" t="s">
        <v>252</v>
      </c>
      <c r="H50" s="26" t="n">
        <f aca="false">SUM(H42:H49)</f>
        <v>3510.16152354</v>
      </c>
      <c r="I50" s="27" t="n">
        <f aca="false">SUM(I42:I49)</f>
        <v>1</v>
      </c>
    </row>
    <row r="51" customFormat="false" ht="15" hidden="false" customHeight="false" outlineLevel="0" collapsed="false">
      <c r="A51" s="5" t="s">
        <v>368</v>
      </c>
    </row>
    <row r="53" customFormat="false" ht="72" hidden="false" customHeight="true" outlineLevel="0" collapsed="false">
      <c r="A53" s="6" t="s">
        <v>254</v>
      </c>
      <c r="B53" s="6" t="s">
        <v>255</v>
      </c>
      <c r="C53" s="6" t="s">
        <v>256</v>
      </c>
      <c r="D53" s="6" t="s">
        <v>27</v>
      </c>
      <c r="E53" s="6" t="s">
        <v>257</v>
      </c>
      <c r="F53" s="6" t="s">
        <v>258</v>
      </c>
      <c r="G53" s="6" t="s">
        <v>259</v>
      </c>
      <c r="H53" s="6" t="s">
        <v>260</v>
      </c>
      <c r="I53" s="6" t="s">
        <v>261</v>
      </c>
      <c r="J53" s="6" t="s">
        <v>262</v>
      </c>
      <c r="K53" s="6" t="s">
        <v>263</v>
      </c>
      <c r="L53" s="6" t="s">
        <v>264</v>
      </c>
      <c r="M53" s="6" t="s">
        <v>265</v>
      </c>
      <c r="N53" s="6" t="s">
        <v>266</v>
      </c>
      <c r="O53" s="6" t="s">
        <v>267</v>
      </c>
      <c r="P53" s="6" t="s">
        <v>268</v>
      </c>
      <c r="Q53" s="6" t="s">
        <v>269</v>
      </c>
      <c r="R53" s="6" t="s">
        <v>270</v>
      </c>
      <c r="S53" s="6" t="s">
        <v>271</v>
      </c>
      <c r="T53" s="6" t="s">
        <v>272</v>
      </c>
      <c r="U53" s="6" t="s">
        <v>273</v>
      </c>
    </row>
    <row r="54" customFormat="false" ht="79.85" hidden="false" customHeight="false" outlineLevel="0" collapsed="false">
      <c r="A54" s="5" t="s">
        <v>352</v>
      </c>
      <c r="B54" s="5" t="s">
        <v>353</v>
      </c>
      <c r="C54" s="20" t="n">
        <f aca="false">SUMIF($B$42:$B$49,A54,$H$42:$H$49)</f>
        <v>1523.69079156</v>
      </c>
      <c r="D54" s="11" t="n">
        <f aca="false">C54/$H$50</f>
        <v>0.434079965079031</v>
      </c>
      <c r="E54" s="11" t="n">
        <f aca="false">C54/SUMIF($B$54:$B$57,B54,$C$54:$C$57)</f>
        <v>0.434079965079031</v>
      </c>
      <c r="F54" s="28" t="n">
        <v>-1</v>
      </c>
      <c r="G54" s="23"/>
      <c r="H54" s="2"/>
      <c r="I54" s="15" t="n">
        <f aca="false">E54/ABS(F54)</f>
        <v>0.434079965079031</v>
      </c>
      <c r="J54" s="15" t="n">
        <f aca="false">INDEX($G$62:$G$62,MATCH(B54,$A$62:$A$62,0))</f>
        <v>-0.965184334790026</v>
      </c>
      <c r="K54" s="24" t="n">
        <f aca="false">INDEX($I$62:$I$62,MATCH(B54,$A$62:$A$62,0))</f>
        <v>1</v>
      </c>
      <c r="L54" s="24" t="n">
        <f aca="false">$B$7*K54*I54/(1+$B$7*$B$75)</f>
        <v>0.0563539814813711</v>
      </c>
      <c r="M54" s="24" t="n">
        <f aca="false">$B$8*K54*I54/(1+$B$8*$B$75)</f>
        <v>0.189880308399777</v>
      </c>
      <c r="N54" s="24" t="n">
        <f aca="false">K54*I54/$B$75</f>
        <v>0.418967182340482</v>
      </c>
      <c r="O54" s="24" t="n">
        <f aca="false">$B$8*(D54/ABS(F54))/(1+$B$8*$B$67)</f>
        <v>0.189880308399777</v>
      </c>
      <c r="P54" s="24" t="n">
        <f aca="false">$B$8*D54/($B$8+ABS($B$68))</f>
        <v>0.190011086070382</v>
      </c>
      <c r="Q54" s="24" t="n">
        <f aca="false">IF(T54="",(M54-1)/F54,((J54*((M54-T54*ABS(J54)*I54)/$B$74)+ABS(J54)*I54)-1)/F54)</f>
        <v>0.810119691600223</v>
      </c>
      <c r="R54" s="24" t="n">
        <f aca="false">M54/$B$8</f>
        <v>0.237350385499721</v>
      </c>
      <c r="S54" s="11" t="str">
        <f aca="false">IF(OR(G54="",G54&lt;=0,G54&gt;=1),"",EXP(LN(G54)/Q54)-1)</f>
        <v/>
      </c>
      <c r="T54" s="15" t="str">
        <f aca="false">INDEX($E$62:$E$62,MATCH(B54,$A$62:$A$62,0))</f>
        <v/>
      </c>
      <c r="U54" s="2" t="s">
        <v>369</v>
      </c>
    </row>
    <row r="55" customFormat="false" ht="15" hidden="false" customHeight="false" outlineLevel="0" collapsed="false">
      <c r="A55" s="5" t="s">
        <v>356</v>
      </c>
      <c r="B55" s="5" t="s">
        <v>353</v>
      </c>
      <c r="C55" s="20" t="n">
        <f aca="false">SUMIF($B$42:$B$49,A55,$H$42:$H$49)</f>
        <v>911.474639838</v>
      </c>
      <c r="D55" s="11" t="n">
        <f aca="false">C55/$H$50</f>
        <v>0.259667435166567</v>
      </c>
      <c r="E55" s="11" t="n">
        <f aca="false">C55/SUMIF($B$54:$B$57,B55,$C$54:$C$57)</f>
        <v>0.259667435166567</v>
      </c>
      <c r="F55" s="28" t="n">
        <v>-0.9</v>
      </c>
      <c r="G55" s="23"/>
      <c r="H55" s="2"/>
      <c r="I55" s="15" t="n">
        <f aca="false">E55/ABS(F55)</f>
        <v>0.288519372407296</v>
      </c>
      <c r="J55" s="15" t="n">
        <f aca="false">INDEX($G$62:$G$62,MATCH(B55,$A$62:$A$62,0))</f>
        <v>-0.965184334790026</v>
      </c>
      <c r="K55" s="24" t="n">
        <f aca="false">INDEX($I$62:$I$62,MATCH(B55,$A$62:$A$62,0))</f>
        <v>1</v>
      </c>
      <c r="L55" s="24" t="n">
        <f aca="false">$B$7*K55*I55/(1+$B$7*$B$75)</f>
        <v>0.0374567284318164</v>
      </c>
      <c r="M55" s="24" t="n">
        <f aca="false">$B$8*K55*I55/(1+$B$8*$B$75)</f>
        <v>0.126207500505197</v>
      </c>
      <c r="N55" s="24" t="n">
        <f aca="false">K55*I55/$B$75</f>
        <v>0.278474378530972</v>
      </c>
      <c r="O55" s="24" t="n">
        <f aca="false">$B$8*(D55/ABS(F55))/(1+$B$8*$B$67)</f>
        <v>0.126207500505197</v>
      </c>
      <c r="P55" s="24" t="n">
        <f aca="false">$B$8*D55/($B$8+ABS($B$68))</f>
        <v>0.113664981898271</v>
      </c>
      <c r="Q55" s="24" t="n">
        <f aca="false">IF(T55="",(M55-1)/F55,((J55*((M55-T55*ABS(J55)*I55)/$B$74)+ABS(J55)*I55)-1)/F55)</f>
        <v>0.970880554994226</v>
      </c>
      <c r="R55" s="24" t="n">
        <f aca="false">M55/$B$8</f>
        <v>0.157759375631496</v>
      </c>
      <c r="S55" s="11" t="str">
        <f aca="false">IF(OR(G55="",G55&lt;=0,G55&gt;=1),"",EXP(LN(G55)/Q55)-1)</f>
        <v/>
      </c>
      <c r="T55" s="15" t="str">
        <f aca="false">INDEX($E$62:$E$62,MATCH(B55,$A$62:$A$62,0))</f>
        <v/>
      </c>
      <c r="U55" s="2" t="s">
        <v>370</v>
      </c>
    </row>
    <row r="56" customFormat="false" ht="46.25" hidden="false" customHeight="false" outlineLevel="0" collapsed="false">
      <c r="A56" s="5" t="s">
        <v>360</v>
      </c>
      <c r="B56" s="5" t="s">
        <v>353</v>
      </c>
      <c r="C56" s="20" t="n">
        <f aca="false">SUMIF($B$42:$B$49,A56,$H$42:$H$49)</f>
        <v>863.316092142</v>
      </c>
      <c r="D56" s="11" t="n">
        <f aca="false">C56/$H$50</f>
        <v>0.245947682564575</v>
      </c>
      <c r="E56" s="11" t="n">
        <f aca="false">C56/SUMIF($B$54:$B$57,B56,$C$54:$C$57)</f>
        <v>0.245947682564575</v>
      </c>
      <c r="F56" s="28" t="n">
        <v>-0.85</v>
      </c>
      <c r="G56" s="23" t="n">
        <v>0.3</v>
      </c>
      <c r="H56" s="2" t="s">
        <v>371</v>
      </c>
      <c r="I56" s="15" t="n">
        <f aca="false">E56/ABS(F56)</f>
        <v>0.289350214781853</v>
      </c>
      <c r="J56" s="15" t="n">
        <f aca="false">INDEX($G$62:$G$62,MATCH(B56,$A$62:$A$62,0))</f>
        <v>-0.965184334790026</v>
      </c>
      <c r="K56" s="24" t="n">
        <f aca="false">INDEX($I$62:$I$62,MATCH(B56,$A$62:$A$62,0))</f>
        <v>1</v>
      </c>
      <c r="L56" s="24" t="n">
        <f aca="false">$B$7*K56*I56/(1+$B$7*$B$75)</f>
        <v>0.037564591681808</v>
      </c>
      <c r="M56" s="24" t="n">
        <f aca="false">$B$8*K56*I56/(1+$B$8*$B$75)</f>
        <v>0.126570937242674</v>
      </c>
      <c r="N56" s="24" t="n">
        <f aca="false">K56*I56/$B$75</f>
        <v>0.279276294575574</v>
      </c>
      <c r="O56" s="24" t="n">
        <f aca="false">$B$8*(D56/ABS(F56))/(1+$B$8*$B$67)</f>
        <v>0.126570937242674</v>
      </c>
      <c r="P56" s="24" t="n">
        <f aca="false">$B$8*D56/($B$8+ABS($B$68))</f>
        <v>0.107659394674159</v>
      </c>
      <c r="Q56" s="24" t="n">
        <f aca="false">IF(T56="",(M56-1)/F56,((J56*((M56-T56*ABS(J56)*I56)/$B$74)+ABS(J56)*I56)-1)/F56)</f>
        <v>1.02756360324391</v>
      </c>
      <c r="R56" s="24" t="n">
        <f aca="false">M56/$B$8</f>
        <v>0.158213671553342</v>
      </c>
      <c r="S56" s="11" t="n">
        <f aca="false">IF(OR(G56="",G56&lt;=0,G56&gt;=1),"",EXP(LN(G56)/Q56)-1)</f>
        <v>-0.690153157474659</v>
      </c>
      <c r="T56" s="15" t="str">
        <f aca="false">INDEX($E$62:$E$62,MATCH(B56,$A$62:$A$62,0))</f>
        <v/>
      </c>
      <c r="U56" s="2" t="s">
        <v>372</v>
      </c>
    </row>
    <row r="57" customFormat="false" ht="57.45" hidden="false" customHeight="false" outlineLevel="0" collapsed="false">
      <c r="A57" s="5" t="s">
        <v>363</v>
      </c>
      <c r="B57" s="5" t="s">
        <v>353</v>
      </c>
      <c r="C57" s="20" t="n">
        <f aca="false">SUMIF($B$42:$B$49,A57,$H$42:$H$49)</f>
        <v>211.68</v>
      </c>
      <c r="D57" s="11" t="n">
        <f aca="false">C57/$H$50</f>
        <v>0.0603049171898279</v>
      </c>
      <c r="E57" s="11" t="n">
        <f aca="false">C57/SUMIF($B$54:$B$57,B57,$C$54:$C$57)</f>
        <v>0.0603049171898279</v>
      </c>
      <c r="F57" s="28" t="n">
        <v>-2.5</v>
      </c>
      <c r="G57" s="23" t="n">
        <v>0.4</v>
      </c>
      <c r="H57" s="2" t="s">
        <v>373</v>
      </c>
      <c r="I57" s="15" t="n">
        <f aca="false">E57/ABS(F57)</f>
        <v>0.0241219668759312</v>
      </c>
      <c r="J57" s="15" t="n">
        <f aca="false">INDEX($G$62:$G$62,MATCH(B57,$A$62:$A$62,0))</f>
        <v>-0.965184334790026</v>
      </c>
      <c r="K57" s="24" t="n">
        <f aca="false">INDEX($I$62:$I$62,MATCH(B57,$A$62:$A$62,0))</f>
        <v>1</v>
      </c>
      <c r="L57" s="24" t="n">
        <f aca="false">$B$7*K57*I57/(1+$B$7*$B$75)</f>
        <v>0.00313160934385207</v>
      </c>
      <c r="M57" s="24" t="n">
        <f aca="false">$B$8*K57*I57/(1+$B$8*$B$75)</f>
        <v>0.0105517113851986</v>
      </c>
      <c r="N57" s="24" t="n">
        <f aca="false">K57*I57/$B$75</f>
        <v>0.0232821445529727</v>
      </c>
      <c r="O57" s="24" t="n">
        <f aca="false">$B$8*(D57/ABS(F57))/(1+$B$8*$B$67)</f>
        <v>0.0105517113851986</v>
      </c>
      <c r="P57" s="24" t="n">
        <f aca="false">$B$8*D57/($B$8+ABS($B$68))</f>
        <v>0.0263974468587544</v>
      </c>
      <c r="Q57" s="24" t="n">
        <f aca="false">IF(T57="",(M57-1)/F57,((J57*((M57-T57*ABS(J57)*I57)/$B$74)+ABS(J57)*I57)-1)/F57)</f>
        <v>0.395779315445921</v>
      </c>
      <c r="R57" s="24" t="n">
        <f aca="false">M57/$B$8</f>
        <v>0.0131896392314983</v>
      </c>
      <c r="S57" s="11" t="n">
        <f aca="false">IF(OR(G57="",G57&lt;=0,G57&gt;=1),"",EXP(LN(G57)/Q57)-1)</f>
        <v>-0.90124919114302</v>
      </c>
      <c r="T57" s="15" t="str">
        <f aca="false">INDEX($E$62:$E$62,MATCH(B57,$A$62:$A$62,0))</f>
        <v/>
      </c>
      <c r="U57" s="2" t="s">
        <v>374</v>
      </c>
    </row>
    <row r="61" customFormat="false" ht="72" hidden="false" customHeight="true" outlineLevel="0" collapsed="false">
      <c r="A61" s="6" t="s">
        <v>255</v>
      </c>
      <c r="B61" s="6" t="s">
        <v>288</v>
      </c>
      <c r="C61" s="6" t="s">
        <v>289</v>
      </c>
      <c r="D61" s="6" t="s">
        <v>290</v>
      </c>
      <c r="E61" s="6" t="s">
        <v>291</v>
      </c>
      <c r="F61" s="6" t="s">
        <v>292</v>
      </c>
      <c r="G61" s="6" t="s">
        <v>293</v>
      </c>
      <c r="H61" s="6" t="s">
        <v>294</v>
      </c>
      <c r="I61" s="6" t="s">
        <v>295</v>
      </c>
      <c r="J61" s="6" t="s">
        <v>296</v>
      </c>
    </row>
    <row r="62" customFormat="false" ht="15" hidden="false" customHeight="false" outlineLevel="0" collapsed="false">
      <c r="A62" s="5" t="s">
        <v>353</v>
      </c>
      <c r="B62" s="20" t="n">
        <f aca="false">SUMIF($C$42:$C$49,A62,$H$42:$H$49)</f>
        <v>3510.16152354</v>
      </c>
      <c r="C62" s="11" t="n">
        <f aca="false">B62/$H$50</f>
        <v>1</v>
      </c>
      <c r="D62" s="13"/>
      <c r="E62" s="15" t="str">
        <f aca="false">IF(D62="","",D62/SUM($D$62:$D$62))</f>
        <v/>
      </c>
      <c r="F62" s="15" t="n">
        <f aca="false">SUMIF($B$54:$B$57,A62,$I$54:$I$57)</f>
        <v>1.03607151914411</v>
      </c>
      <c r="G62" s="15" t="n">
        <f aca="false">-1/F62</f>
        <v>-0.965184334790026</v>
      </c>
      <c r="H62" s="15" t="str">
        <f aca="false">IF(E62="","",E62*G62)</f>
        <v/>
      </c>
      <c r="I62" s="24" t="n">
        <f aca="false">IF(E62="",C62,($B$73/ABS($B$74))*E62*ABS(G62))</f>
        <v>1</v>
      </c>
      <c r="J62" s="24" t="n">
        <f aca="false">IF(E62="",C62/ABS(G62),"")</f>
        <v>1.03607151914411</v>
      </c>
    </row>
    <row r="64" customFormat="false" ht="15" hidden="false" customHeight="false" outlineLevel="0" collapsed="false">
      <c r="A64" s="18" t="s">
        <v>297</v>
      </c>
    </row>
    <row r="65" customFormat="false" ht="15" hidden="false" customHeight="false" outlineLevel="0" collapsed="false">
      <c r="A65" s="14" t="s">
        <v>298</v>
      </c>
      <c r="B65" s="20" t="n">
        <f aca="false">$H$50</f>
        <v>3510.16152354</v>
      </c>
    </row>
    <row r="66" customFormat="false" ht="15" hidden="false" customHeight="false" outlineLevel="0" collapsed="false">
      <c r="A66" s="14" t="s">
        <v>299</v>
      </c>
      <c r="B66" s="15" t="n">
        <f aca="false">-1/B75</f>
        <v>-0.965184334790026</v>
      </c>
    </row>
    <row r="67" customFormat="false" ht="15" hidden="false" customHeight="false" outlineLevel="0" collapsed="false">
      <c r="A67" s="14" t="s">
        <v>300</v>
      </c>
      <c r="B67" s="15" t="n">
        <f aca="false">SUMPRODUCT(D54:D57/ABS(F54:F57))</f>
        <v>1.03607151914411</v>
      </c>
    </row>
    <row r="68" customFormat="false" ht="15" hidden="false" customHeight="false" outlineLevel="0" collapsed="false">
      <c r="A68" s="14" t="s">
        <v>301</v>
      </c>
      <c r="B68" s="15" t="n">
        <f aca="false">SUMPRODUCT(D54:D57,F54:F57)</f>
        <v>-1.0275984798834</v>
      </c>
    </row>
    <row r="69" customFormat="false" ht="15" hidden="false" customHeight="false" outlineLevel="0" collapsed="false">
      <c r="A69" s="14" t="s">
        <v>302</v>
      </c>
      <c r="B69" s="15" t="n">
        <f aca="false">-1/B67</f>
        <v>-0.965184334790026</v>
      </c>
    </row>
    <row r="70" customFormat="false" ht="15" hidden="false" customHeight="false" outlineLevel="0" collapsed="false">
      <c r="A70" s="14" t="s">
        <v>303</v>
      </c>
      <c r="B70" s="15" t="n">
        <f aca="false">$B$7*B75/(1+$B$7*B75)</f>
        <v>0.134506910938848</v>
      </c>
    </row>
    <row r="71" customFormat="false" ht="15" hidden="false" customHeight="false" outlineLevel="0" collapsed="false">
      <c r="A71" s="14" t="s">
        <v>304</v>
      </c>
      <c r="B71" s="15" t="n">
        <f aca="false">$B$8*B75/(1+$B$8*B75)</f>
        <v>0.453210457532846</v>
      </c>
    </row>
    <row r="72" customFormat="false" ht="15" hidden="false" customHeight="false" outlineLevel="0" collapsed="false">
      <c r="A72" s="14" t="s">
        <v>305</v>
      </c>
      <c r="B72" s="15" t="n">
        <f aca="false">SUM(M54:M57)</f>
        <v>0.453210457532846</v>
      </c>
    </row>
    <row r="73" customFormat="false" ht="15" hidden="false" customHeight="false" outlineLevel="0" collapsed="false">
      <c r="A73" s="14" t="s">
        <v>306</v>
      </c>
      <c r="B73" s="24" t="n">
        <f aca="false">SUMPRODUCT(--(E62:E62&lt;&gt;""),C62:C62)</f>
        <v>0</v>
      </c>
    </row>
    <row r="74" customFormat="false" ht="15" hidden="false" customHeight="false" outlineLevel="0" collapsed="false">
      <c r="A74" s="14" t="s">
        <v>307</v>
      </c>
      <c r="B74" s="15" t="str">
        <f aca="false">IF(B73=0,"",SUM(H62:H62))</f>
        <v/>
      </c>
    </row>
    <row r="75" customFormat="false" ht="15" hidden="false" customHeight="false" outlineLevel="0" collapsed="false">
      <c r="A75" s="14" t="s">
        <v>308</v>
      </c>
      <c r="B75" s="24" t="n">
        <f aca="false">SUM(J62:J62)+IF(B73=0,0,B73/ABS(B74))</f>
        <v>1.03607151914411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375</v>
      </c>
    </row>
    <row r="2" customFormat="false" ht="15" hidden="false" customHeight="false" outlineLevel="0" collapsed="false">
      <c r="A2" s="5" t="s">
        <v>376</v>
      </c>
    </row>
    <row r="3" customFormat="false" ht="15" hidden="false" customHeight="false" outlineLevel="0" collapsed="false">
      <c r="A3" s="5" t="s">
        <v>377</v>
      </c>
    </row>
    <row r="4" customFormat="false" ht="15" hidden="false" customHeight="false" outlineLevel="0" collapsed="false">
      <c r="A4" s="5" t="s">
        <v>378</v>
      </c>
    </row>
    <row r="5" customFormat="false" ht="15" hidden="false" customHeight="false" outlineLevel="0" collapsed="false">
      <c r="A5" s="5" t="s">
        <v>379</v>
      </c>
    </row>
    <row r="7" customFormat="false" ht="15" hidden="false" customHeight="false" outlineLevel="0" collapsed="false">
      <c r="A7" s="14" t="s">
        <v>123</v>
      </c>
      <c r="B7" s="10" t="n">
        <f aca="false">Assumptions!$C$10</f>
        <v>0.03</v>
      </c>
    </row>
    <row r="8" customFormat="false" ht="15" hidden="false" customHeight="false" outlineLevel="0" collapsed="false">
      <c r="A8" s="14" t="s">
        <v>124</v>
      </c>
      <c r="B8" s="10" t="n">
        <f aca="false">Assumptions!$D$10</f>
        <v>1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380</v>
      </c>
    </row>
    <row r="12" customFormat="false" ht="15" hidden="false" customHeight="false" outlineLevel="0" collapsed="false">
      <c r="A12" s="14" t="s">
        <v>381</v>
      </c>
      <c r="B12" s="19" t="n">
        <v>1</v>
      </c>
    </row>
    <row r="13" customFormat="false" ht="26.85" hidden="false" customHeight="false" outlineLevel="0" collapsed="false">
      <c r="A13" s="6" t="s">
        <v>128</v>
      </c>
      <c r="B13" s="6" t="s">
        <v>382</v>
      </c>
      <c r="C13" s="6" t="s">
        <v>383</v>
      </c>
      <c r="D13" s="6" t="s">
        <v>384</v>
      </c>
      <c r="E13" s="6" t="s">
        <v>132</v>
      </c>
      <c r="F13" s="6" t="s">
        <v>133</v>
      </c>
    </row>
    <row r="14" customFormat="false" ht="15" hidden="false" customHeight="false" outlineLevel="0" collapsed="false">
      <c r="A14" s="5" t="s">
        <v>385</v>
      </c>
      <c r="B14" s="20" t="n">
        <f aca="false">INDEX(C14:D14,1,$B$12)</f>
        <v>0.68</v>
      </c>
      <c r="C14" s="21" t="n">
        <v>0.68</v>
      </c>
      <c r="D14" s="21" t="n">
        <v>0.68</v>
      </c>
      <c r="E14" s="5" t="s">
        <v>135</v>
      </c>
      <c r="F14" s="5" t="s">
        <v>386</v>
      </c>
    </row>
    <row r="15" customFormat="false" ht="15" hidden="false" customHeight="false" outlineLevel="0" collapsed="false">
      <c r="A15" s="5" t="s">
        <v>387</v>
      </c>
      <c r="B15" s="20" t="n">
        <f aca="false">INDEX(C15:D15,1,$B$12)</f>
        <v>0.36</v>
      </c>
      <c r="C15" s="21" t="n">
        <v>0.36</v>
      </c>
      <c r="D15" s="21" t="n">
        <v>0.36</v>
      </c>
      <c r="E15" s="5" t="s">
        <v>135</v>
      </c>
      <c r="F15" s="5" t="s">
        <v>388</v>
      </c>
    </row>
    <row r="16" customFormat="false" ht="15" hidden="false" customHeight="false" outlineLevel="0" collapsed="false">
      <c r="A16" s="5" t="s">
        <v>389</v>
      </c>
      <c r="B16" s="20" t="n">
        <f aca="false">INDEX(C16:D16,1,$B$12)</f>
        <v>1.29</v>
      </c>
      <c r="C16" s="21" t="n">
        <v>1.29</v>
      </c>
      <c r="D16" s="21" t="n">
        <v>1.29</v>
      </c>
      <c r="E16" s="5" t="s">
        <v>316</v>
      </c>
      <c r="F16" s="5" t="s">
        <v>390</v>
      </c>
    </row>
    <row r="17" customFormat="false" ht="15" hidden="false" customHeight="false" outlineLevel="0" collapsed="false">
      <c r="A17" s="5" t="s">
        <v>391</v>
      </c>
      <c r="B17" s="20" t="n">
        <f aca="false">INDEX(C17:D17,1,$B$12)</f>
        <v>0.651685393258427</v>
      </c>
      <c r="C17" s="21" t="n">
        <v>0.651685393258427</v>
      </c>
      <c r="D17" s="21" t="n">
        <v>0.651685393258427</v>
      </c>
      <c r="E17" s="5" t="s">
        <v>135</v>
      </c>
      <c r="F17" s="5" t="s">
        <v>392</v>
      </c>
    </row>
    <row r="18" customFormat="false" ht="15" hidden="false" customHeight="false" outlineLevel="0" collapsed="false">
      <c r="A18" s="5" t="s">
        <v>393</v>
      </c>
      <c r="B18" s="20" t="n">
        <f aca="false">INDEX(C18:D18,1,$B$12)</f>
        <v>0.95</v>
      </c>
      <c r="C18" s="21" t="n">
        <v>0.95</v>
      </c>
      <c r="D18" s="21" t="n">
        <v>2.08</v>
      </c>
      <c r="E18" s="5" t="s">
        <v>394</v>
      </c>
      <c r="F18" s="5" t="s">
        <v>395</v>
      </c>
    </row>
    <row r="19" customFormat="false" ht="15" hidden="false" customHeight="false" outlineLevel="0" collapsed="false">
      <c r="A19" s="5" t="s">
        <v>396</v>
      </c>
      <c r="B19" s="20" t="n">
        <f aca="false">INDEX(C19:D19,1,$B$12)</f>
        <v>0.33</v>
      </c>
      <c r="C19" s="21" t="n">
        <v>0.33</v>
      </c>
      <c r="D19" s="21" t="n">
        <v>1.155</v>
      </c>
      <c r="E19" s="5" t="s">
        <v>167</v>
      </c>
      <c r="F19" s="5" t="s">
        <v>397</v>
      </c>
    </row>
    <row r="20" customFormat="false" ht="15" hidden="false" customHeight="false" outlineLevel="0" collapsed="false">
      <c r="A20" s="5" t="s">
        <v>398</v>
      </c>
      <c r="B20" s="20" t="n">
        <f aca="false">INDEX(C20:D20,1,$B$12)</f>
        <v>0.23</v>
      </c>
      <c r="C20" s="21" t="n">
        <v>0.23</v>
      </c>
      <c r="D20" s="21" t="n">
        <v>0.914</v>
      </c>
      <c r="E20" s="5" t="s">
        <v>167</v>
      </c>
      <c r="F20" s="5" t="s">
        <v>399</v>
      </c>
    </row>
    <row r="21" customFormat="false" ht="15" hidden="false" customHeight="false" outlineLevel="0" collapsed="false">
      <c r="A21" s="5" t="s">
        <v>400</v>
      </c>
      <c r="B21" s="20" t="n">
        <f aca="false">INDEX(C21:D21,1,$B$12)</f>
        <v>0.46</v>
      </c>
      <c r="C21" s="21" t="n">
        <v>0.46</v>
      </c>
      <c r="D21" s="21" t="n">
        <v>3.57</v>
      </c>
      <c r="E21" s="5" t="s">
        <v>167</v>
      </c>
      <c r="F21" s="5" t="s">
        <v>399</v>
      </c>
    </row>
    <row r="22" customFormat="false" ht="15" hidden="false" customHeight="false" outlineLevel="0" collapsed="false">
      <c r="A22" s="5" t="s">
        <v>401</v>
      </c>
      <c r="B22" s="20" t="n">
        <f aca="false">INDEX(C22:D22,1,$B$12)</f>
        <v>0.02</v>
      </c>
      <c r="C22" s="21" t="n">
        <v>0.02</v>
      </c>
      <c r="D22" s="21" t="n">
        <v>0.02</v>
      </c>
      <c r="E22" s="5" t="s">
        <v>402</v>
      </c>
      <c r="F22" s="5" t="s">
        <v>403</v>
      </c>
    </row>
    <row r="23" customFormat="false" ht="15" hidden="false" customHeight="false" outlineLevel="0" collapsed="false">
      <c r="A23" s="5" t="s">
        <v>404</v>
      </c>
      <c r="B23" s="20" t="n">
        <f aca="false">INDEX(C23:D23,1,$B$12)</f>
        <v>25</v>
      </c>
      <c r="C23" s="21" t="n">
        <v>25</v>
      </c>
      <c r="D23" s="21" t="n">
        <v>25</v>
      </c>
      <c r="E23" s="5" t="s">
        <v>405</v>
      </c>
      <c r="F23" s="5" t="s">
        <v>406</v>
      </c>
    </row>
    <row r="25" customFormat="false" ht="15" hidden="false" customHeight="false" outlineLevel="0" collapsed="false">
      <c r="A25" s="18" t="s">
        <v>196</v>
      </c>
    </row>
    <row r="26" customFormat="false" ht="72" hidden="false" customHeight="true" outlineLevel="0" collapsed="false">
      <c r="A26" s="6" t="s">
        <v>197</v>
      </c>
      <c r="B26" s="6" t="s">
        <v>198</v>
      </c>
      <c r="C26" s="6" t="s">
        <v>199</v>
      </c>
      <c r="D26" s="6" t="s">
        <v>200</v>
      </c>
      <c r="E26" s="6" t="s">
        <v>201</v>
      </c>
      <c r="F26" s="6" t="s">
        <v>202</v>
      </c>
      <c r="G26" s="6" t="s">
        <v>203</v>
      </c>
      <c r="H26" s="6" t="s">
        <v>204</v>
      </c>
      <c r="I26" s="6" t="s">
        <v>27</v>
      </c>
      <c r="J26" s="6" t="s">
        <v>205</v>
      </c>
      <c r="K26" s="6" t="s">
        <v>206</v>
      </c>
      <c r="L26" s="6" t="s">
        <v>29</v>
      </c>
      <c r="M26" s="6" t="s">
        <v>30</v>
      </c>
      <c r="N26" s="6" t="s">
        <v>207</v>
      </c>
      <c r="O26" s="6" t="s">
        <v>208</v>
      </c>
      <c r="P26" s="6" t="s">
        <v>209</v>
      </c>
      <c r="Q26" s="6" t="s">
        <v>210</v>
      </c>
      <c r="R26" s="6" t="s">
        <v>211</v>
      </c>
      <c r="S26" s="6" t="s">
        <v>212</v>
      </c>
      <c r="T26" s="6" t="s">
        <v>213</v>
      </c>
      <c r="U26" s="6" t="s">
        <v>214</v>
      </c>
      <c r="V26" s="6" t="s">
        <v>215</v>
      </c>
      <c r="W26" s="6" t="s">
        <v>133</v>
      </c>
    </row>
    <row r="27" customFormat="false" ht="15" hidden="false" customHeight="false" outlineLevel="0" collapsed="false">
      <c r="A27" s="2" t="s">
        <v>407</v>
      </c>
      <c r="B27" s="5" t="s">
        <v>408</v>
      </c>
      <c r="C27" s="5" t="s">
        <v>409</v>
      </c>
      <c r="D27" s="20" t="n">
        <f aca="false">$B$14</f>
        <v>0.68</v>
      </c>
      <c r="E27" s="5"/>
      <c r="F27" s="22" t="n">
        <f aca="false">$B$18</f>
        <v>0.95</v>
      </c>
      <c r="G27" s="5"/>
      <c r="H27" s="20" t="n">
        <f aca="false">D27*F27</f>
        <v>0.646</v>
      </c>
      <c r="I27" s="11" t="n">
        <f aca="false">H27/$H$32</f>
        <v>0.828132361352592</v>
      </c>
      <c r="J27" s="23" t="n">
        <v>0.125</v>
      </c>
      <c r="K27" s="15" t="n">
        <f aca="false">IF(SUMIF($B$27:$B$31,B27,$H$27:$H$31)=0,0,H27/SUMIF($B$27:$B$31,B27,$H$27:$H$31))</f>
        <v>1</v>
      </c>
      <c r="L27" s="24" t="n">
        <f aca="false">K27*INDEX($L$36:$L$40,MATCH(B27,$A$36:$A$40,0))</f>
        <v>0.0395912667232114</v>
      </c>
      <c r="M27" s="24" t="n">
        <f aca="false">K27*INDEX($M$36:$M$40,MATCH(B27,$A$36:$A$40,0))</f>
        <v>0.457800952836497</v>
      </c>
      <c r="N27" s="24" t="n">
        <f aca="false">K27*INDEX($N$36:$N$40,MATCH(B27,$A$36:$A$40,0))</f>
        <v>0.679932324832355</v>
      </c>
      <c r="O27" s="24" t="n">
        <f aca="false">K27*INDEX($O$36:$O$40,MATCH(B27,$A$36:$A$40,0))</f>
        <v>0.720560436596521</v>
      </c>
      <c r="P27" s="24" t="n">
        <f aca="false">K27*INDEX($P$36:$P$40,MATCH(B27,$A$36:$A$40,0))</f>
        <v>0.595140674024064</v>
      </c>
      <c r="Q27" s="11" t="n">
        <f aca="false">INDEX($Q$36:$Q$40,MATCH(B27,$A$36:$A$40,0))*K27*$B$9</f>
        <v>-0.0458364929044388</v>
      </c>
      <c r="R27" s="25" t="n">
        <f aca="false">INDEX($R$36:$R$40,MATCH(B27,$A$36:$A$40,0))*K27*$B$9</f>
        <v>-0.0457800952836497</v>
      </c>
      <c r="S27" s="11" t="str">
        <f aca="false">IF(INDEX($S$36:$S$40,MATCH(B27,$A$36:$A$40,0))="","no external floor",INDEX($S$36:$S$40,MATCH(B27,$A$36:$A$40,0))/K27)</f>
        <v>no external floor</v>
      </c>
      <c r="T27" s="25" t="n">
        <f aca="false">INDEX($M$36:$M$40,MATCH(B27,$A$36:$A$40,0))*IF(INDEX($S$36:$S$40,MATCH(B27,$A$36:$A$40,0))="",-K27,MAX(-K27,INDEX($S$36:$S$40,MATCH(B27,$A$36:$A$40,0))))</f>
        <v>-0.457800952836497</v>
      </c>
      <c r="U27" s="22" t="n">
        <f aca="false">IF(D27=0,"",M27/D27*1.5)</f>
        <v>1.00985504302169</v>
      </c>
      <c r="V27" s="22" t="n">
        <f aca="false">IF(OR(J27="",J27=0),"",U27/J27)</f>
        <v>8.07884034417348</v>
      </c>
      <c r="W27" s="2" t="s">
        <v>325</v>
      </c>
    </row>
    <row r="28" customFormat="false" ht="15" hidden="false" customHeight="false" outlineLevel="0" collapsed="false">
      <c r="A28" s="2" t="s">
        <v>410</v>
      </c>
      <c r="B28" s="5" t="s">
        <v>411</v>
      </c>
      <c r="C28" s="5" t="s">
        <v>412</v>
      </c>
      <c r="D28" s="20" t="n">
        <f aca="false">(1-$B$14)*(1-$B$15)*$B$16</f>
        <v>0.264192</v>
      </c>
      <c r="E28" s="5"/>
      <c r="F28" s="22" t="n">
        <f aca="false">$B$19</f>
        <v>0.33</v>
      </c>
      <c r="G28" s="5"/>
      <c r="H28" s="20" t="n">
        <f aca="false">D28*F28</f>
        <v>0.08718336</v>
      </c>
      <c r="I28" s="11" t="n">
        <f aca="false">H28/$H$32</f>
        <v>0.111763717937234</v>
      </c>
      <c r="J28" s="23" t="n">
        <v>0.125</v>
      </c>
      <c r="K28" s="15" t="n">
        <f aca="false">IF(SUMIF($B$27:$B$31,B28,$H$27:$H$31)=0,0,H28/SUMIF($B$27:$B$31,B28,$H$27:$H$31))</f>
        <v>1</v>
      </c>
      <c r="L28" s="24" t="n">
        <f aca="false">K28*INDEX($L$36:$L$40,MATCH(B28,$A$36:$A$40,0))</f>
        <v>0.0119239579778143</v>
      </c>
      <c r="M28" s="24" t="n">
        <f aca="false">K28*INDEX($M$36:$M$40,MATCH(B28,$A$36:$A$40,0))</f>
        <v>0.137878875207227</v>
      </c>
      <c r="N28" s="24" t="n">
        <f aca="false">K28*INDEX($N$36:$N$40,MATCH(B28,$A$36:$A$40,0))</f>
        <v>0.204779617831862</v>
      </c>
      <c r="O28" s="24" t="n">
        <f aca="false">K28*INDEX($O$36:$O$40,MATCH(B28,$A$36:$A$40,0))</f>
        <v>0.0328205061635042</v>
      </c>
      <c r="P28" s="24" t="n">
        <f aca="false">K28*INDEX($P$36:$P$40,MATCH(B28,$A$36:$A$40,0))</f>
        <v>0.080319448349973</v>
      </c>
      <c r="Q28" s="11" t="n">
        <f aca="false">INDEX($Q$36:$Q$40,MATCH(B28,$A$36:$A$40,0))*K28*$B$9</f>
        <v>-0.0138048731571016</v>
      </c>
      <c r="R28" s="25" t="n">
        <f aca="false">INDEX($R$36:$R$40,MATCH(B28,$A$36:$A$40,0))*K28*$B$9</f>
        <v>-0.0137878875207227</v>
      </c>
      <c r="S28" s="11" t="n">
        <f aca="false">IF(INDEX($S$36:$S$40,MATCH(B28,$A$36:$A$40,0))="","no external floor",INDEX($S$36:$S$40,MATCH(B28,$A$36:$A$40,0))/K28)</f>
        <v>-0.993402289555068</v>
      </c>
      <c r="T28" s="25" t="n">
        <f aca="false">INDEX($M$36:$M$40,MATCH(B28,$A$36:$A$40,0))*IF(INDEX($S$36:$S$40,MATCH(B28,$A$36:$A$40,0))="",-K28,MAX(-K28,INDEX($S$36:$S$40,MATCH(B28,$A$36:$A$40,0))))</f>
        <v>-0.136969190312137</v>
      </c>
      <c r="U28" s="22" t="n">
        <f aca="false">IF(D28=0,"",M28/D28*1.5)</f>
        <v>0.782833366683477</v>
      </c>
      <c r="V28" s="22" t="n">
        <f aca="false">IF(OR(J28="",J28=0),"",U28/J28)</f>
        <v>6.26266693346782</v>
      </c>
      <c r="W28" s="2" t="s">
        <v>325</v>
      </c>
    </row>
    <row r="29" customFormat="false" ht="23.85" hidden="false" customHeight="false" outlineLevel="0" collapsed="false">
      <c r="A29" s="2" t="s">
        <v>413</v>
      </c>
      <c r="B29" s="5" t="s">
        <v>414</v>
      </c>
      <c r="C29" s="5" t="s">
        <v>415</v>
      </c>
      <c r="D29" s="20" t="n">
        <f aca="false">(1-$B$14)*$B$15*$B$16*$B$17</f>
        <v>0.0968456629213483</v>
      </c>
      <c r="E29" s="5"/>
      <c r="F29" s="22" t="n">
        <f aca="false">$B$20</f>
        <v>0.23</v>
      </c>
      <c r="G29" s="5"/>
      <c r="H29" s="20" t="n">
        <f aca="false">D29*F29</f>
        <v>0.0222745024719101</v>
      </c>
      <c r="I29" s="11" t="n">
        <f aca="false">H29/$H$32</f>
        <v>0.0285545454025032</v>
      </c>
      <c r="J29" s="23" t="n">
        <v>0.11</v>
      </c>
      <c r="K29" s="15" t="n">
        <f aca="false">IF(SUMIF($B$27:$B$31,B29,$H$27:$H$31)=0,0,H29/SUMIF($B$27:$B$31,B29,$H$27:$H$31))</f>
        <v>1</v>
      </c>
      <c r="L29" s="24" t="n">
        <f aca="false">K29*INDEX($L$36:$L$40,MATCH(B29,$A$36:$A$40,0))</f>
        <v>0.00257628562269</v>
      </c>
      <c r="M29" s="24" t="n">
        <f aca="false">K29*INDEX($M$36:$M$40,MATCH(B29,$A$36:$A$40,0))</f>
        <v>0.0297900549909655</v>
      </c>
      <c r="N29" s="24" t="n">
        <f aca="false">K29*INDEX($N$36:$N$40,MATCH(B29,$A$36:$A$40,0))</f>
        <v>0.0442446028593676</v>
      </c>
      <c r="O29" s="24" t="n">
        <f aca="false">K29*INDEX($O$36:$O$40,MATCH(B29,$A$36:$A$40,0))</f>
        <v>0.0044721711156399</v>
      </c>
      <c r="P29" s="24" t="n">
        <f aca="false">K29*INDEX($P$36:$P$40,MATCH(B29,$A$36:$A$40,0))</f>
        <v>0.0205208396512125</v>
      </c>
      <c r="Q29" s="11" t="n">
        <f aca="false">INDEX($Q$36:$Q$40,MATCH(B29,$A$36:$A$40,0))*K29*$B$9</f>
        <v>-0.0434299407223391</v>
      </c>
      <c r="R29" s="25" t="n">
        <f aca="false">INDEX($R$36:$R$40,MATCH(B29,$A$36:$A$40,0))*K29*$B$9</f>
        <v>-0.00297900549909655</v>
      </c>
      <c r="S29" s="11" t="n">
        <f aca="false">IF(INDEX($S$36:$S$40,MATCH(B29,$A$36:$A$40,0))="","no external floor",INDEX($S$36:$S$40,MATCH(B29,$A$36:$A$40,0))/K29)</f>
        <v>-0.910835951102056</v>
      </c>
      <c r="T29" s="25" t="n">
        <f aca="false">INDEX($M$36:$M$40,MATCH(B29,$A$36:$A$40,0))*IF(INDEX($S$36:$S$40,MATCH(B29,$A$36:$A$40,0))="",-K29,MAX(-K29,INDEX($S$36:$S$40,MATCH(B29,$A$36:$A$40,0))))</f>
        <v>-0.0271338530710786</v>
      </c>
      <c r="U29" s="22" t="n">
        <f aca="false">IF(D29=0,"",M29/D29*1.5)</f>
        <v>0.4614050969194</v>
      </c>
      <c r="V29" s="22" t="n">
        <f aca="false">IF(OR(J29="",J29=0),"",U29/J29)</f>
        <v>4.19459179017637</v>
      </c>
      <c r="W29" s="2" t="s">
        <v>325</v>
      </c>
    </row>
    <row r="30" customFormat="false" ht="15" hidden="false" customHeight="false" outlineLevel="0" collapsed="false">
      <c r="A30" s="2" t="s">
        <v>400</v>
      </c>
      <c r="B30" s="5" t="s">
        <v>416</v>
      </c>
      <c r="C30" s="5" t="s">
        <v>415</v>
      </c>
      <c r="D30" s="20" t="n">
        <f aca="false">(1-$B$14)*$B$15*$B$16*(1-$B$17)</f>
        <v>0.0517623370786517</v>
      </c>
      <c r="E30" s="5"/>
      <c r="F30" s="22" t="n">
        <f aca="false">$B$21</f>
        <v>0.46</v>
      </c>
      <c r="G30" s="5"/>
      <c r="H30" s="20" t="n">
        <f aca="false">D30*F30</f>
        <v>0.0238106750561798</v>
      </c>
      <c r="I30" s="11" t="n">
        <f aca="false">H30/$H$32</f>
        <v>0.0305238243957793</v>
      </c>
      <c r="J30" s="23" t="n">
        <v>0.16</v>
      </c>
      <c r="K30" s="15" t="n">
        <f aca="false">IF(SUMIF($B$27:$B$31,B30,$H$27:$H$31)=0,0,H30/SUMIF($B$27:$B$31,B30,$H$27:$H$31))</f>
        <v>1</v>
      </c>
      <c r="L30" s="24" t="n">
        <f aca="false">K30*INDEX($L$36:$L$40,MATCH(B30,$A$36:$A$40,0))</f>
        <v>0.00413094073983052</v>
      </c>
      <c r="M30" s="24" t="n">
        <f aca="false">K30*INDEX($M$36:$M$40,MATCH(B30,$A$36:$A$40,0))</f>
        <v>0.0477668123130999</v>
      </c>
      <c r="N30" s="24" t="n">
        <f aca="false">K30*INDEX($N$36:$N$40,MATCH(B30,$A$36:$A$40,0))</f>
        <v>0.070943932171055</v>
      </c>
      <c r="O30" s="24" t="n">
        <f aca="false">K30*INDEX($O$36:$O$40,MATCH(B30,$A$36:$A$40,0))</f>
        <v>0.00717089506473294</v>
      </c>
      <c r="P30" s="24" t="n">
        <f aca="false">K30*INDEX($P$36:$P$40,MATCH(B30,$A$36:$A$40,0))</f>
        <v>0.0219360699719857</v>
      </c>
      <c r="Q30" s="11" t="n">
        <f aca="false">INDEX($Q$36:$Q$40,MATCH(B30,$A$36:$A$40,0))*K30*$B$9</f>
        <v>-0.0441116677718327</v>
      </c>
      <c r="R30" s="25" t="n">
        <f aca="false">INDEX($R$36:$R$40,MATCH(B30,$A$36:$A$40,0))*K30*$B$9</f>
        <v>-0.00477668123130999</v>
      </c>
      <c r="S30" s="11" t="n">
        <f aca="false">IF(INDEX($S$36:$S$40,MATCH(B30,$A$36:$A$40,0))="","no external floor",INDEX($S$36:$S$40,MATCH(B30,$A$36:$A$40,0))/K30)</f>
        <v>-0.792234777478836</v>
      </c>
      <c r="T30" s="25" t="n">
        <f aca="false">INDEX($M$36:$M$40,MATCH(B30,$A$36:$A$40,0))*IF(INDEX($S$36:$S$40,MATCH(B30,$A$36:$A$40,0))="",-K30,MAX(-K30,INDEX($S$36:$S$40,MATCH(B30,$A$36:$A$40,0))))</f>
        <v>-0.037842529923742</v>
      </c>
      <c r="U30" s="22" t="n">
        <f aca="false">IF(D30=0,"",M30/D30*1.5)</f>
        <v>1.3842152907582</v>
      </c>
      <c r="V30" s="22" t="n">
        <f aca="false">IF(OR(J30="",J30=0),"",U30/J30)</f>
        <v>8.65134556723876</v>
      </c>
      <c r="W30" s="2" t="s">
        <v>325</v>
      </c>
    </row>
    <row r="31" customFormat="false" ht="15" hidden="false" customHeight="false" outlineLevel="0" collapsed="false">
      <c r="A31" s="2" t="s">
        <v>417</v>
      </c>
      <c r="B31" s="5" t="s">
        <v>418</v>
      </c>
      <c r="C31" s="5" t="s">
        <v>418</v>
      </c>
      <c r="D31" s="20" t="n">
        <f aca="false">1/$B$23</f>
        <v>0.04</v>
      </c>
      <c r="E31" s="5"/>
      <c r="F31" s="22" t="n">
        <f aca="false">$B$22</f>
        <v>0.02</v>
      </c>
      <c r="G31" s="5"/>
      <c r="H31" s="20" t="n">
        <f aca="false">D31*F31</f>
        <v>0.0008</v>
      </c>
      <c r="I31" s="11" t="n">
        <f aca="false">H31/$H$32</f>
        <v>0.00102555091189175</v>
      </c>
      <c r="J31" s="23"/>
      <c r="K31" s="15" t="n">
        <f aca="false">IF(SUMIF($B$27:$B$31,B31,$H$27:$H$31)=0,0,H31/SUMIF($B$27:$B$31,B31,$H$27:$H$31))</f>
        <v>1</v>
      </c>
      <c r="L31" s="24" t="n">
        <f aca="false">K31*INDEX($L$36:$L$40,MATCH(B31,$A$36:$A$40,0))</f>
        <v>5.79500928620342E-006</v>
      </c>
      <c r="M31" s="24" t="n">
        <f aca="false">K31*INDEX($M$36:$M$40,MATCH(B31,$A$36:$A$40,0))</f>
        <v>6.70087368375337E-005</v>
      </c>
      <c r="N31" s="24" t="n">
        <f aca="false">K31*INDEX($N$36:$N$40,MATCH(B31,$A$36:$A$40,0))</f>
        <v>9.95223053594123E-005</v>
      </c>
      <c r="O31" s="24" t="n">
        <f aca="false">K31*INDEX($O$36:$O$40,MATCH(B31,$A$36:$A$40,0))</f>
        <v>4.81860849241018E-005</v>
      </c>
      <c r="P31" s="24" t="n">
        <f aca="false">K31*INDEX($P$36:$P$40,MATCH(B31,$A$36:$A$40,0))</f>
        <v>0.000737016314580884</v>
      </c>
      <c r="Q31" s="11" t="n">
        <f aca="false">INDEX($Q$36:$Q$40,MATCH(B31,$A$36:$A$40,0))*K31*$B$9</f>
        <v>-0.0199986598252633</v>
      </c>
      <c r="R31" s="25" t="n">
        <f aca="false">INDEX($R$36:$R$40,MATCH(B31,$A$36:$A$40,0))*K31*$B$9</f>
        <v>-6.70087368375337E-006</v>
      </c>
      <c r="S31" s="11" t="str">
        <f aca="false">IF(INDEX($S$36:$S$40,MATCH(B31,$A$36:$A$40,0))="","no external floor",INDEX($S$36:$S$40,MATCH(B31,$A$36:$A$40,0))/K31)</f>
        <v>no external floor</v>
      </c>
      <c r="T31" s="25" t="n">
        <f aca="false">INDEX($M$36:$M$40,MATCH(B31,$A$36:$A$40,0))*IF(INDEX($S$36:$S$40,MATCH(B31,$A$36:$A$40,0))="",-K31,MAX(-K31,INDEX($S$36:$S$40,MATCH(B31,$A$36:$A$40,0))))</f>
        <v>-6.70087368375337E-005</v>
      </c>
      <c r="U31" s="22" t="n">
        <f aca="false">IF(D31=0,"",M31/D31*1.5)</f>
        <v>0.00251282763140751</v>
      </c>
      <c r="V31" s="22" t="str">
        <f aca="false">IF(OR(J31="",J31=0),"",U31/J31)</f>
        <v/>
      </c>
      <c r="W31" s="2" t="s">
        <v>419</v>
      </c>
    </row>
    <row r="32" customFormat="false" ht="15" hidden="false" customHeight="false" outlineLevel="0" collapsed="false">
      <c r="A32" s="14" t="s">
        <v>252</v>
      </c>
      <c r="H32" s="26" t="n">
        <f aca="false">SUM(H27:H31)</f>
        <v>0.78006853752809</v>
      </c>
      <c r="I32" s="27" t="n">
        <f aca="false">SUM(I27:I31)</f>
        <v>1</v>
      </c>
    </row>
    <row r="33" customFormat="false" ht="15" hidden="false" customHeight="false" outlineLevel="0" collapsed="false">
      <c r="A33" s="5" t="s">
        <v>420</v>
      </c>
    </row>
    <row r="35" customFormat="false" ht="72" hidden="false" customHeight="true" outlineLevel="0" collapsed="false">
      <c r="A35" s="6" t="s">
        <v>254</v>
      </c>
      <c r="B35" s="6" t="s">
        <v>255</v>
      </c>
      <c r="C35" s="6" t="s">
        <v>256</v>
      </c>
      <c r="D35" s="6" t="s">
        <v>27</v>
      </c>
      <c r="E35" s="6" t="s">
        <v>257</v>
      </c>
      <c r="F35" s="6" t="s">
        <v>258</v>
      </c>
      <c r="G35" s="6" t="s">
        <v>259</v>
      </c>
      <c r="H35" s="6" t="s">
        <v>260</v>
      </c>
      <c r="I35" s="6" t="s">
        <v>261</v>
      </c>
      <c r="J35" s="6" t="s">
        <v>262</v>
      </c>
      <c r="K35" s="6" t="s">
        <v>263</v>
      </c>
      <c r="L35" s="6" t="s">
        <v>264</v>
      </c>
      <c r="M35" s="6" t="s">
        <v>265</v>
      </c>
      <c r="N35" s="6" t="s">
        <v>266</v>
      </c>
      <c r="O35" s="6" t="s">
        <v>267</v>
      </c>
      <c r="P35" s="6" t="s">
        <v>268</v>
      </c>
      <c r="Q35" s="6" t="s">
        <v>269</v>
      </c>
      <c r="R35" s="6" t="s">
        <v>270</v>
      </c>
      <c r="S35" s="6" t="s">
        <v>271</v>
      </c>
      <c r="T35" s="6" t="s">
        <v>272</v>
      </c>
      <c r="U35" s="6" t="s">
        <v>273</v>
      </c>
    </row>
    <row r="36" customFormat="false" ht="91" hidden="false" customHeight="false" outlineLevel="0" collapsed="false">
      <c r="A36" s="5" t="s">
        <v>408</v>
      </c>
      <c r="B36" s="5" t="s">
        <v>409</v>
      </c>
      <c r="C36" s="20" t="n">
        <f aca="false">SUMIF($B$27:$B$31,A36,$H$27:$H$31)</f>
        <v>0.646</v>
      </c>
      <c r="D36" s="11" t="n">
        <f aca="false">C36/$H$32</f>
        <v>0.828132361352592</v>
      </c>
      <c r="E36" s="11" t="n">
        <f aca="false">C36/SUMIF($B$36:$B$40,B36,$C$36:$C$40)</f>
        <v>1</v>
      </c>
      <c r="F36" s="28" t="n">
        <v>-0.27</v>
      </c>
      <c r="G36" s="23"/>
      <c r="H36" s="2"/>
      <c r="I36" s="15" t="n">
        <f aca="false">E36/ABS(F36)</f>
        <v>3.7037037037037</v>
      </c>
      <c r="J36" s="15" t="n">
        <f aca="false">INDEX($G$45:$G$48,MATCH(B36,$A$45:$A$48,0))</f>
        <v>-0.27</v>
      </c>
      <c r="K36" s="24" t="n">
        <f aca="false">INDEX($I$45:$I$48,MATCH(B36,$A$45:$A$48,0))</f>
        <v>0.378352184616974</v>
      </c>
      <c r="L36" s="24" t="n">
        <f aca="false">$B$7*K36*I36/(1+$B$7*$B$61)</f>
        <v>0.0395912667232114</v>
      </c>
      <c r="M36" s="24" t="n">
        <f aca="false">$B$8*K36*I36/(1+$B$8*$B$61)</f>
        <v>0.457800952836497</v>
      </c>
      <c r="N36" s="24" t="n">
        <f aca="false">K36*I36/$B$61</f>
        <v>0.679932324832355</v>
      </c>
      <c r="O36" s="24" t="n">
        <f aca="false">$B$8*(D36/ABS(F36))/(1+$B$8*$B$53)</f>
        <v>0.720560436596521</v>
      </c>
      <c r="P36" s="24" t="n">
        <f aca="false">$B$8*D36/($B$8+ABS($B$54))</f>
        <v>0.595140674024064</v>
      </c>
      <c r="Q36" s="24" t="n">
        <f aca="false">IF(T36="",(M36-1)/F36,((J36*((M36-T36*ABS(J36)*I36)/$B$60)+ABS(J36)*I36)-1)/F36)</f>
        <v>0.458364929044387</v>
      </c>
      <c r="R36" s="24" t="n">
        <f aca="false">M36/$B$8</f>
        <v>0.457800952836497</v>
      </c>
      <c r="S36" s="11" t="str">
        <f aca="false">IF(OR(G36="",G36&lt;=0,G36&gt;=1),"",EXP(LN(G36)/Q36)-1)</f>
        <v/>
      </c>
      <c r="T36" s="15" t="n">
        <f aca="false">INDEX($E$45:$E$48,MATCH(B36,$A$45:$A$48,0))</f>
        <v>0.68</v>
      </c>
      <c r="U36" s="2" t="s">
        <v>421</v>
      </c>
    </row>
    <row r="37" customFormat="false" ht="68.65" hidden="false" customHeight="false" outlineLevel="0" collapsed="false">
      <c r="A37" s="5" t="s">
        <v>411</v>
      </c>
      <c r="B37" s="5" t="s">
        <v>412</v>
      </c>
      <c r="C37" s="20" t="n">
        <f aca="false">SUMIF($B$27:$B$31,A37,$H$27:$H$31)</f>
        <v>0.08718336</v>
      </c>
      <c r="D37" s="11" t="n">
        <f aca="false">C37/$H$32</f>
        <v>0.111763717937234</v>
      </c>
      <c r="E37" s="11" t="n">
        <f aca="false">C37/SUMIF($B$36:$B$40,B37,$C$36:$C$40)</f>
        <v>1</v>
      </c>
      <c r="F37" s="28" t="n">
        <v>-0.8</v>
      </c>
      <c r="G37" s="23" t="n">
        <v>0.5</v>
      </c>
      <c r="H37" s="2" t="s">
        <v>422</v>
      </c>
      <c r="I37" s="15" t="n">
        <f aca="false">E37/ABS(F37)</f>
        <v>1.25</v>
      </c>
      <c r="J37" s="15" t="n">
        <f aca="false">INDEX($G$45:$G$48,MATCH(B37,$A$45:$A$48,0))</f>
        <v>-0.8</v>
      </c>
      <c r="K37" s="24" t="n">
        <f aca="false">INDEX($I$45:$I$48,MATCH(B37,$A$45:$A$48,0))</f>
        <v>0.337631927710484</v>
      </c>
      <c r="L37" s="24" t="n">
        <f aca="false">$B$7*K37*I37/(1+$B$7*$B$61)</f>
        <v>0.0119239579778143</v>
      </c>
      <c r="M37" s="24" t="n">
        <f aca="false">$B$8*K37*I37/(1+$B$8*$B$61)</f>
        <v>0.137878875207227</v>
      </c>
      <c r="N37" s="24" t="n">
        <f aca="false">K37*I37/$B$61</f>
        <v>0.204779617831862</v>
      </c>
      <c r="O37" s="24" t="n">
        <f aca="false">$B$8*(D37/ABS(F37))/(1+$B$8*$B$53)</f>
        <v>0.0328205061635042</v>
      </c>
      <c r="P37" s="24" t="n">
        <f aca="false">$B$8*D37/($B$8+ABS($B$54))</f>
        <v>0.080319448349973</v>
      </c>
      <c r="Q37" s="24" t="n">
        <f aca="false">IF(T37="",(M37-1)/F37,((J37*((M37-T37*ABS(J37)*I37)/$B$60)+ABS(J37)*I37)-1)/F37)</f>
        <v>0.138048731571016</v>
      </c>
      <c r="R37" s="24" t="n">
        <f aca="false">M37/$B$8</f>
        <v>0.137878875207227</v>
      </c>
      <c r="S37" s="11" t="n">
        <f aca="false">IF(OR(G37="",G37&lt;=0,G37&gt;=1),"",EXP(LN(G37)/Q37)-1)</f>
        <v>-0.993402289555068</v>
      </c>
      <c r="T37" s="15" t="n">
        <f aca="false">INDEX($E$45:$E$48,MATCH(B37,$A$45:$A$48,0))</f>
        <v>0.2048</v>
      </c>
      <c r="U37" s="2" t="s">
        <v>423</v>
      </c>
    </row>
    <row r="38" customFormat="false" ht="35.05" hidden="false" customHeight="false" outlineLevel="0" collapsed="false">
      <c r="A38" s="5" t="s">
        <v>414</v>
      </c>
      <c r="B38" s="5" t="s">
        <v>415</v>
      </c>
      <c r="C38" s="20" t="n">
        <f aca="false">SUMIF($B$27:$B$31,A38,$H$27:$H$31)</f>
        <v>0.0222745024719101</v>
      </c>
      <c r="D38" s="11" t="n">
        <f aca="false">C38/$H$32</f>
        <v>0.0285545454025032</v>
      </c>
      <c r="E38" s="11" t="n">
        <f aca="false">C38/SUMIF($B$36:$B$40,B38,$C$36:$C$40)</f>
        <v>0.483333333333333</v>
      </c>
      <c r="F38" s="28" t="n">
        <v>-1.5</v>
      </c>
      <c r="G38" s="23" t="n">
        <v>0.35</v>
      </c>
      <c r="H38" s="2" t="s">
        <v>424</v>
      </c>
      <c r="I38" s="15" t="n">
        <f aca="false">E38/ABS(F38)</f>
        <v>0.322222222222222</v>
      </c>
      <c r="J38" s="15" t="n">
        <f aca="false">INDEX($G$45:$G$48,MATCH(B38,$A$45:$A$48,0))</f>
        <v>-1.19205298013245</v>
      </c>
      <c r="K38" s="24" t="n">
        <f aca="false">INDEX($I$45:$I$48,MATCH(B38,$A$45:$A$48,0))</f>
        <v>0.28299033676065</v>
      </c>
      <c r="L38" s="24" t="n">
        <f aca="false">$B$7*K38*I38/(1+$B$7*$B$61)</f>
        <v>0.00257628562269</v>
      </c>
      <c r="M38" s="24" t="n">
        <f aca="false">$B$8*K38*I38/(1+$B$8*$B$61)</f>
        <v>0.0297900549909655</v>
      </c>
      <c r="N38" s="24" t="n">
        <f aca="false">K38*I38/$B$61</f>
        <v>0.0442446028593676</v>
      </c>
      <c r="O38" s="24" t="n">
        <f aca="false">$B$8*(D38/ABS(F38))/(1+$B$8*$B$53)</f>
        <v>0.0044721711156399</v>
      </c>
      <c r="P38" s="24" t="n">
        <f aca="false">$B$8*D38/($B$8+ABS($B$54))</f>
        <v>0.0205208396512125</v>
      </c>
      <c r="Q38" s="24" t="n">
        <f aca="false">IF(T38="",(M38-1)/F38,((J38*((M38-T38*ABS(J38)*I38)/$B$60)+ABS(J38)*I38)-1)/F38)</f>
        <v>0.434299407223391</v>
      </c>
      <c r="R38" s="24" t="n">
        <f aca="false">M38/$B$8</f>
        <v>0.0297900549909655</v>
      </c>
      <c r="S38" s="11" t="n">
        <f aca="false">IF(OR(G38="",G38&lt;=0,G38&gt;=1),"",EXP(LN(G38)/Q38)-1)</f>
        <v>-0.910835951102056</v>
      </c>
      <c r="T38" s="15" t="n">
        <f aca="false">INDEX($E$45:$E$48,MATCH(B38,$A$45:$A$48,0))</f>
        <v>0.1152</v>
      </c>
      <c r="U38" s="2" t="s">
        <v>425</v>
      </c>
    </row>
    <row r="39" customFormat="false" ht="35.05" hidden="false" customHeight="false" outlineLevel="0" collapsed="false">
      <c r="A39" s="5" t="s">
        <v>416</v>
      </c>
      <c r="B39" s="5" t="s">
        <v>415</v>
      </c>
      <c r="C39" s="20" t="n">
        <f aca="false">SUMIF($B$27:$B$31,A39,$H$27:$H$31)</f>
        <v>0.0238106750561798</v>
      </c>
      <c r="D39" s="11" t="n">
        <f aca="false">C39/$H$32</f>
        <v>0.0305238243957793</v>
      </c>
      <c r="E39" s="11" t="n">
        <f aca="false">C39/SUMIF($B$36:$B$40,B39,$C$36:$C$40)</f>
        <v>0.516666666666667</v>
      </c>
      <c r="F39" s="28" t="n">
        <v>-1</v>
      </c>
      <c r="G39" s="23" t="n">
        <v>0.5</v>
      </c>
      <c r="H39" s="2" t="s">
        <v>426</v>
      </c>
      <c r="I39" s="15" t="n">
        <f aca="false">E39/ABS(F39)</f>
        <v>0.516666666666667</v>
      </c>
      <c r="J39" s="15" t="n">
        <f aca="false">INDEX($G$45:$G$48,MATCH(B39,$A$45:$A$48,0))</f>
        <v>-1.19205298013245</v>
      </c>
      <c r="K39" s="24" t="n">
        <f aca="false">INDEX($I$45:$I$48,MATCH(B39,$A$45:$A$48,0))</f>
        <v>0.28299033676065</v>
      </c>
      <c r="L39" s="24" t="n">
        <f aca="false">$B$7*K39*I39/(1+$B$7*$B$61)</f>
        <v>0.00413094073983052</v>
      </c>
      <c r="M39" s="24" t="n">
        <f aca="false">$B$8*K39*I39/(1+$B$8*$B$61)</f>
        <v>0.0477668123130999</v>
      </c>
      <c r="N39" s="24" t="n">
        <f aca="false">K39*I39/$B$61</f>
        <v>0.070943932171055</v>
      </c>
      <c r="O39" s="24" t="n">
        <f aca="false">$B$8*(D39/ABS(F39))/(1+$B$8*$B$53)</f>
        <v>0.00717089506473294</v>
      </c>
      <c r="P39" s="24" t="n">
        <f aca="false">$B$8*D39/($B$8+ABS($B$54))</f>
        <v>0.0219360699719857</v>
      </c>
      <c r="Q39" s="24" t="n">
        <f aca="false">IF(T39="",(M39-1)/F39,((J39*((M39-T39*ABS(J39)*I39)/$B$60)+ABS(J39)*I39)-1)/F39)</f>
        <v>0.441116677718327</v>
      </c>
      <c r="R39" s="24" t="n">
        <f aca="false">M39/$B$8</f>
        <v>0.0477668123130999</v>
      </c>
      <c r="S39" s="11" t="n">
        <f aca="false">IF(OR(G39="",G39&lt;=0,G39&gt;=1),"",EXP(LN(G39)/Q39)-1)</f>
        <v>-0.792234777478836</v>
      </c>
      <c r="T39" s="15" t="n">
        <f aca="false">INDEX($E$45:$E$48,MATCH(B39,$A$45:$A$48,0))</f>
        <v>0.1152</v>
      </c>
      <c r="U39" s="2" t="s">
        <v>186</v>
      </c>
    </row>
    <row r="40" customFormat="false" ht="35.05" hidden="false" customHeight="false" outlineLevel="0" collapsed="false">
      <c r="A40" s="5" t="s">
        <v>418</v>
      </c>
      <c r="B40" s="5" t="s">
        <v>418</v>
      </c>
      <c r="C40" s="20" t="n">
        <f aca="false">SUMIF($B$27:$B$31,A40,$H$27:$H$31)</f>
        <v>0.0008</v>
      </c>
      <c r="D40" s="11" t="n">
        <f aca="false">C40/$H$32</f>
        <v>0.00102555091189175</v>
      </c>
      <c r="E40" s="11" t="n">
        <f aca="false">C40/SUMIF($B$36:$B$40,B40,$C$36:$C$40)</f>
        <v>1</v>
      </c>
      <c r="F40" s="28" t="n">
        <v>-5</v>
      </c>
      <c r="G40" s="23" t="n">
        <v>0</v>
      </c>
      <c r="H40" s="2" t="s">
        <v>427</v>
      </c>
      <c r="I40" s="15" t="n">
        <f aca="false">E40/ABS(F40)</f>
        <v>0.2</v>
      </c>
      <c r="J40" s="15" t="n">
        <f aca="false">INDEX($G$45:$G$48,MATCH(B40,$A$45:$A$48,0))</f>
        <v>-5</v>
      </c>
      <c r="K40" s="24" t="n">
        <f aca="false">INDEX($I$45:$I$48,MATCH(B40,$A$45:$A$48,0))</f>
        <v>0.00102555091189175</v>
      </c>
      <c r="L40" s="24" t="n">
        <f aca="false">$B$7*K40*I40/(1+$B$7*$B$61)</f>
        <v>5.79500928620342E-006</v>
      </c>
      <c r="M40" s="24" t="n">
        <f aca="false">$B$8*K40*I40/(1+$B$8*$B$61)</f>
        <v>6.70087368375337E-005</v>
      </c>
      <c r="N40" s="24" t="n">
        <f aca="false">K40*I40/$B$61</f>
        <v>9.95223053594123E-005</v>
      </c>
      <c r="O40" s="24" t="n">
        <f aca="false">$B$8*(D40/ABS(F40))/(1+$B$8*$B$53)</f>
        <v>4.81860849241018E-005</v>
      </c>
      <c r="P40" s="24" t="n">
        <f aca="false">$B$8*D40/($B$8+ABS($B$54))</f>
        <v>0.000737016314580884</v>
      </c>
      <c r="Q40" s="24" t="n">
        <f aca="false">IF(T40="",(M40-1)/F40,((J40*((M40-T40*ABS(J40)*I40)/$B$60)+ABS(J40)*I40)-1)/F40)</f>
        <v>0.199986598252632</v>
      </c>
      <c r="R40" s="24" t="n">
        <f aca="false">M40/$B$8</f>
        <v>6.70087368375337E-005</v>
      </c>
      <c r="S40" s="11" t="str">
        <f aca="false">IF(OR(G40="",G40&lt;=0,G40&gt;=1),"",EXP(LN(G40)/Q40)-1)</f>
        <v/>
      </c>
      <c r="T40" s="15" t="str">
        <f aca="false">INDEX($E$45:$E$48,MATCH(B40,$A$45:$A$48,0))</f>
        <v/>
      </c>
      <c r="U40" s="2" t="s">
        <v>428</v>
      </c>
    </row>
    <row r="44" customFormat="false" ht="72" hidden="false" customHeight="true" outlineLevel="0" collapsed="false">
      <c r="A44" s="6" t="s">
        <v>255</v>
      </c>
      <c r="B44" s="6" t="s">
        <v>288</v>
      </c>
      <c r="C44" s="6" t="s">
        <v>289</v>
      </c>
      <c r="D44" s="6" t="s">
        <v>290</v>
      </c>
      <c r="E44" s="6" t="s">
        <v>291</v>
      </c>
      <c r="F44" s="6" t="s">
        <v>292</v>
      </c>
      <c r="G44" s="6" t="s">
        <v>293</v>
      </c>
      <c r="H44" s="6" t="s">
        <v>294</v>
      </c>
      <c r="I44" s="6" t="s">
        <v>295</v>
      </c>
      <c r="J44" s="6" t="s">
        <v>296</v>
      </c>
    </row>
    <row r="45" customFormat="false" ht="15" hidden="false" customHeight="false" outlineLevel="0" collapsed="false">
      <c r="A45" s="5" t="s">
        <v>409</v>
      </c>
      <c r="B45" s="20" t="n">
        <f aca="false">SUMIF($C$27:$C$31,A45,$H$27:$H$31)</f>
        <v>0.646</v>
      </c>
      <c r="C45" s="11" t="n">
        <f aca="false">B45/$H$32</f>
        <v>0.828132361352592</v>
      </c>
      <c r="D45" s="15" t="n">
        <f aca="false">$B$14</f>
        <v>0.68</v>
      </c>
      <c r="E45" s="15" t="n">
        <f aca="false">IF(D45="","",D45/SUM($D$45:$D$48))</f>
        <v>0.68</v>
      </c>
      <c r="F45" s="15" t="n">
        <f aca="false">SUMIF($B$36:$B$40,A45,$I$36:$I$40)</f>
        <v>3.7037037037037</v>
      </c>
      <c r="G45" s="15" t="n">
        <f aca="false">-1/F45</f>
        <v>-0.27</v>
      </c>
      <c r="H45" s="15" t="n">
        <f aca="false">IF(E45="","",E45*G45)</f>
        <v>-0.1836</v>
      </c>
      <c r="I45" s="24" t="n">
        <f aca="false">IF(E45="",C45,($B$59/ABS($B$60))*E45*ABS(G45))</f>
        <v>0.378352184616974</v>
      </c>
      <c r="J45" s="24" t="str">
        <f aca="false">IF(E45="",C45/ABS(G45),"")</f>
        <v/>
      </c>
    </row>
    <row r="46" customFormat="false" ht="15" hidden="false" customHeight="false" outlineLevel="0" collapsed="false">
      <c r="A46" s="5" t="s">
        <v>412</v>
      </c>
      <c r="B46" s="20" t="n">
        <f aca="false">SUMIF($C$27:$C$31,A46,$H$27:$H$31)</f>
        <v>0.08718336</v>
      </c>
      <c r="C46" s="11" t="n">
        <f aca="false">B46/$H$32</f>
        <v>0.111763717937234</v>
      </c>
      <c r="D46" s="15" t="n">
        <f aca="false">(1-$B$14)*(1-$B$15)</f>
        <v>0.2048</v>
      </c>
      <c r="E46" s="15" t="n">
        <f aca="false">IF(D46="","",D46/SUM($D$45:$D$48))</f>
        <v>0.2048</v>
      </c>
      <c r="F46" s="15" t="n">
        <f aca="false">SUMIF($B$36:$B$40,A46,$I$36:$I$40)</f>
        <v>1.25</v>
      </c>
      <c r="G46" s="15" t="n">
        <f aca="false">-1/F46</f>
        <v>-0.8</v>
      </c>
      <c r="H46" s="15" t="n">
        <f aca="false">IF(E46="","",E46*G46)</f>
        <v>-0.16384</v>
      </c>
      <c r="I46" s="24" t="n">
        <f aca="false">IF(E46="",C46,($B$59/ABS($B$60))*E46*ABS(G46))</f>
        <v>0.337631927710484</v>
      </c>
      <c r="J46" s="24" t="str">
        <f aca="false">IF(E46="",C46/ABS(G46),"")</f>
        <v/>
      </c>
    </row>
    <row r="47" customFormat="false" ht="15" hidden="false" customHeight="false" outlineLevel="0" collapsed="false">
      <c r="A47" s="5" t="s">
        <v>415</v>
      </c>
      <c r="B47" s="20" t="n">
        <f aca="false">SUMIF($C$27:$C$31,A47,$H$27:$H$31)</f>
        <v>0.0460851775280899</v>
      </c>
      <c r="C47" s="11" t="n">
        <f aca="false">B47/$H$32</f>
        <v>0.0590783697982825</v>
      </c>
      <c r="D47" s="15" t="n">
        <f aca="false">(1-$B$14)*$B$15</f>
        <v>0.1152</v>
      </c>
      <c r="E47" s="15" t="n">
        <f aca="false">IF(D47="","",D47/SUM($D$45:$D$48))</f>
        <v>0.1152</v>
      </c>
      <c r="F47" s="15" t="n">
        <f aca="false">SUMIF($B$36:$B$40,A47,$I$36:$I$40)</f>
        <v>0.838888888888889</v>
      </c>
      <c r="G47" s="15" t="n">
        <f aca="false">-1/F47</f>
        <v>-1.19205298013245</v>
      </c>
      <c r="H47" s="15" t="n">
        <f aca="false">IF(E47="","",E47*G47)</f>
        <v>-0.137324503311258</v>
      </c>
      <c r="I47" s="24" t="n">
        <f aca="false">IF(E47="",C47,($B$59/ABS($B$60))*E47*ABS(G47))</f>
        <v>0.28299033676065</v>
      </c>
      <c r="J47" s="24" t="str">
        <f aca="false">IF(E47="",C47/ABS(G47),"")</f>
        <v/>
      </c>
    </row>
    <row r="48" customFormat="false" ht="15" hidden="false" customHeight="false" outlineLevel="0" collapsed="false">
      <c r="A48" s="5" t="s">
        <v>418</v>
      </c>
      <c r="B48" s="20" t="n">
        <f aca="false">SUMIF($C$27:$C$31,A48,$H$27:$H$31)</f>
        <v>0.0008</v>
      </c>
      <c r="C48" s="11" t="n">
        <f aca="false">B48/$H$32</f>
        <v>0.00102555091189175</v>
      </c>
      <c r="D48" s="13"/>
      <c r="E48" s="15" t="str">
        <f aca="false">IF(D48="","",D48/SUM($D$45:$D$48))</f>
        <v/>
      </c>
      <c r="F48" s="15" t="n">
        <f aca="false">SUMIF($B$36:$B$40,A48,$I$36:$I$40)</f>
        <v>0.2</v>
      </c>
      <c r="G48" s="15" t="n">
        <f aca="false">-1/F48</f>
        <v>-5</v>
      </c>
      <c r="H48" s="15" t="str">
        <f aca="false">IF(E48="","",E48*G48)</f>
        <v/>
      </c>
      <c r="I48" s="24" t="n">
        <f aca="false">IF(E48="",C48,($B$59/ABS($B$60))*E48*ABS(G48))</f>
        <v>0.00102555091189175</v>
      </c>
      <c r="J48" s="24" t="n">
        <f aca="false">IF(E48="",C48/ABS(G48),"")</f>
        <v>0.000205110182378351</v>
      </c>
    </row>
    <row r="50" customFormat="false" ht="15" hidden="false" customHeight="false" outlineLevel="0" collapsed="false">
      <c r="A50" s="18" t="s">
        <v>297</v>
      </c>
    </row>
    <row r="51" customFormat="false" ht="15" hidden="false" customHeight="false" outlineLevel="0" collapsed="false">
      <c r="A51" s="14" t="s">
        <v>298</v>
      </c>
      <c r="B51" s="20" t="n">
        <f aca="false">$H$32</f>
        <v>0.78006853752809</v>
      </c>
    </row>
    <row r="52" customFormat="false" ht="15" hidden="false" customHeight="false" outlineLevel="0" collapsed="false">
      <c r="A52" s="14" t="s">
        <v>299</v>
      </c>
      <c r="B52" s="15" t="n">
        <f aca="false">-1/B61</f>
        <v>-0.485213869957129</v>
      </c>
    </row>
    <row r="53" customFormat="false" ht="15" hidden="false" customHeight="false" outlineLevel="0" collapsed="false">
      <c r="A53" s="14" t="s">
        <v>300</v>
      </c>
      <c r="B53" s="15" t="n">
        <f aca="false">SUMPRODUCT(D36:D40/ABS(F36:F40))</f>
        <v>3.25662683949986</v>
      </c>
    </row>
    <row r="54" customFormat="false" ht="15" hidden="false" customHeight="false" outlineLevel="0" collapsed="false">
      <c r="A54" s="14" t="s">
        <v>301</v>
      </c>
      <c r="B54" s="15" t="n">
        <f aca="false">SUMPRODUCT(D36:D40,F36:F40)</f>
        <v>-0.39149010897398</v>
      </c>
    </row>
    <row r="55" customFormat="false" ht="15" hidden="false" customHeight="false" outlineLevel="0" collapsed="false">
      <c r="A55" s="14" t="s">
        <v>302</v>
      </c>
      <c r="B55" s="15" t="n">
        <f aca="false">-1/B53</f>
        <v>-0.307066191272187</v>
      </c>
    </row>
    <row r="56" customFormat="false" ht="15" hidden="false" customHeight="false" outlineLevel="0" collapsed="false">
      <c r="A56" s="14" t="s">
        <v>303</v>
      </c>
      <c r="B56" s="15" t="n">
        <f aca="false">$B$7*B61/(1+$B$7*B61)</f>
        <v>0.0582282460728324</v>
      </c>
    </row>
    <row r="57" customFormat="false" ht="15" hidden="false" customHeight="false" outlineLevel="0" collapsed="false">
      <c r="A57" s="14" t="s">
        <v>304</v>
      </c>
      <c r="B57" s="15" t="n">
        <f aca="false">$B$8*B61/(1+$B$8*B61)</f>
        <v>0.673303704084628</v>
      </c>
    </row>
    <row r="58" customFormat="false" ht="15" hidden="false" customHeight="false" outlineLevel="0" collapsed="false">
      <c r="A58" s="14" t="s">
        <v>305</v>
      </c>
      <c r="B58" s="15" t="n">
        <f aca="false">SUM(M36:M40)</f>
        <v>0.673303704084628</v>
      </c>
    </row>
    <row r="59" customFormat="false" ht="15" hidden="false" customHeight="false" outlineLevel="0" collapsed="false">
      <c r="A59" s="14" t="s">
        <v>306</v>
      </c>
      <c r="B59" s="24" t="n">
        <f aca="false">SUMPRODUCT(--(E45:E48&lt;&gt;""),C45:C48)</f>
        <v>0.998974449088108</v>
      </c>
    </row>
    <row r="60" customFormat="false" ht="15" hidden="false" customHeight="false" outlineLevel="0" collapsed="false">
      <c r="A60" s="14" t="s">
        <v>307</v>
      </c>
      <c r="B60" s="15" t="n">
        <f aca="false">IF(B59=0,"",SUM(H45:H48))</f>
        <v>-0.484764503311258</v>
      </c>
    </row>
    <row r="61" customFormat="false" ht="15" hidden="false" customHeight="false" outlineLevel="0" collapsed="false">
      <c r="A61" s="14" t="s">
        <v>308</v>
      </c>
      <c r="B61" s="24" t="n">
        <f aca="false">SUM(J45:J48)+IF(B59=0,0,B59/ABS(B60))</f>
        <v>2.06094685646219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429</v>
      </c>
    </row>
    <row r="2" customFormat="false" ht="15" hidden="false" customHeight="false" outlineLevel="0" collapsed="false">
      <c r="A2" s="5" t="s">
        <v>430</v>
      </c>
    </row>
    <row r="3" customFormat="false" ht="15" hidden="false" customHeight="false" outlineLevel="0" collapsed="false">
      <c r="A3" s="5" t="s">
        <v>431</v>
      </c>
    </row>
    <row r="4" customFormat="false" ht="15" hidden="false" customHeight="false" outlineLevel="0" collapsed="false">
      <c r="A4" s="5" t="s">
        <v>432</v>
      </c>
    </row>
    <row r="5" customFormat="false" ht="15" hidden="false" customHeight="false" outlineLevel="0" collapsed="false">
      <c r="A5" s="5" t="s">
        <v>433</v>
      </c>
    </row>
    <row r="7" customFormat="false" ht="15" hidden="false" customHeight="false" outlineLevel="0" collapsed="false">
      <c r="A7" s="14" t="s">
        <v>123</v>
      </c>
      <c r="B7" s="10" t="n">
        <f aca="false">Assumptions!$C$11</f>
        <v>0.1</v>
      </c>
    </row>
    <row r="8" customFormat="false" ht="15" hidden="false" customHeight="false" outlineLevel="0" collapsed="false">
      <c r="A8" s="14" t="s">
        <v>124</v>
      </c>
      <c r="B8" s="10" t="n">
        <f aca="false">Assumptions!$D$11</f>
        <v>0.7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434</v>
      </c>
    </row>
    <row r="12" customFormat="false" ht="26.85" hidden="false" customHeight="false" outlineLevel="0" collapsed="false">
      <c r="A12" s="6" t="s">
        <v>128</v>
      </c>
      <c r="B12" s="6" t="s">
        <v>204</v>
      </c>
      <c r="C12" s="6" t="s">
        <v>132</v>
      </c>
      <c r="D12" s="6" t="s">
        <v>133</v>
      </c>
    </row>
    <row r="13" customFormat="false" ht="15" hidden="false" customHeight="false" outlineLevel="0" collapsed="false">
      <c r="A13" s="5" t="s">
        <v>315</v>
      </c>
      <c r="B13" s="21" t="n">
        <v>6</v>
      </c>
      <c r="C13" s="5" t="s">
        <v>316</v>
      </c>
      <c r="D13" s="5" t="s">
        <v>435</v>
      </c>
    </row>
    <row r="14" customFormat="false" ht="15" hidden="false" customHeight="false" outlineLevel="0" collapsed="false">
      <c r="A14" s="5" t="s">
        <v>436</v>
      </c>
      <c r="B14" s="21" t="n">
        <v>0.2205</v>
      </c>
      <c r="C14" s="5" t="s">
        <v>135</v>
      </c>
      <c r="D14" s="5" t="s">
        <v>437</v>
      </c>
    </row>
    <row r="15" customFormat="false" ht="15" hidden="false" customHeight="false" outlineLevel="0" collapsed="false">
      <c r="A15" s="5" t="s">
        <v>438</v>
      </c>
      <c r="B15" s="21" t="n">
        <v>1.486</v>
      </c>
      <c r="C15" s="5" t="s">
        <v>167</v>
      </c>
      <c r="D15" s="5" t="s">
        <v>439</v>
      </c>
    </row>
    <row r="16" customFormat="false" ht="15" hidden="false" customHeight="false" outlineLevel="0" collapsed="false">
      <c r="A16" s="5" t="s">
        <v>440</v>
      </c>
      <c r="B16" s="21" t="n">
        <v>0.04</v>
      </c>
      <c r="C16" s="5" t="s">
        <v>135</v>
      </c>
      <c r="D16" s="5" t="s">
        <v>325</v>
      </c>
    </row>
    <row r="17" customFormat="false" ht="15" hidden="false" customHeight="false" outlineLevel="0" collapsed="false">
      <c r="A17" s="5" t="s">
        <v>441</v>
      </c>
      <c r="B17" s="21" t="n">
        <v>1.734</v>
      </c>
      <c r="C17" s="5" t="s">
        <v>167</v>
      </c>
      <c r="D17" s="5" t="s">
        <v>325</v>
      </c>
    </row>
    <row r="18" customFormat="false" ht="15" hidden="false" customHeight="false" outlineLevel="0" collapsed="false">
      <c r="A18" s="5" t="s">
        <v>442</v>
      </c>
      <c r="B18" s="21" t="n">
        <v>0.0758</v>
      </c>
      <c r="C18" s="5" t="s">
        <v>135</v>
      </c>
      <c r="D18" s="5" t="s">
        <v>325</v>
      </c>
    </row>
    <row r="19" customFormat="false" ht="15" hidden="false" customHeight="false" outlineLevel="0" collapsed="false">
      <c r="A19" s="5" t="s">
        <v>443</v>
      </c>
      <c r="B19" s="21" t="n">
        <v>1.906</v>
      </c>
      <c r="C19" s="5" t="s">
        <v>167</v>
      </c>
      <c r="D19" s="5" t="s">
        <v>325</v>
      </c>
    </row>
    <row r="20" customFormat="false" ht="15" hidden="false" customHeight="false" outlineLevel="0" collapsed="false">
      <c r="A20" s="5" t="s">
        <v>444</v>
      </c>
      <c r="B20" s="21" t="n">
        <v>0.2301</v>
      </c>
      <c r="C20" s="5" t="s">
        <v>135</v>
      </c>
      <c r="D20" s="5" t="s">
        <v>445</v>
      </c>
    </row>
    <row r="21" customFormat="false" ht="15" hidden="false" customHeight="false" outlineLevel="0" collapsed="false">
      <c r="A21" s="5" t="s">
        <v>446</v>
      </c>
      <c r="B21" s="21" t="n">
        <v>0.514</v>
      </c>
      <c r="C21" s="5" t="s">
        <v>167</v>
      </c>
      <c r="D21" s="5" t="s">
        <v>325</v>
      </c>
    </row>
    <row r="22" customFormat="false" ht="15" hidden="false" customHeight="false" outlineLevel="0" collapsed="false">
      <c r="A22" s="5" t="s">
        <v>447</v>
      </c>
      <c r="B22" s="21" t="n">
        <v>0.121</v>
      </c>
      <c r="C22" s="5" t="s">
        <v>135</v>
      </c>
      <c r="D22" s="5" t="s">
        <v>448</v>
      </c>
    </row>
    <row r="23" customFormat="false" ht="15" hidden="false" customHeight="false" outlineLevel="0" collapsed="false">
      <c r="A23" s="5" t="s">
        <v>449</v>
      </c>
      <c r="B23" s="21" t="n">
        <v>0.125</v>
      </c>
      <c r="C23" s="5" t="s">
        <v>167</v>
      </c>
      <c r="D23" s="5" t="s">
        <v>325</v>
      </c>
    </row>
    <row r="24" customFormat="false" ht="15" hidden="false" customHeight="false" outlineLevel="0" collapsed="false">
      <c r="A24" s="5" t="s">
        <v>450</v>
      </c>
      <c r="B24" s="21" t="n">
        <v>0.03</v>
      </c>
      <c r="C24" s="5" t="s">
        <v>135</v>
      </c>
      <c r="D24" s="5" t="s">
        <v>325</v>
      </c>
    </row>
    <row r="25" customFormat="false" ht="15" hidden="false" customHeight="false" outlineLevel="0" collapsed="false">
      <c r="A25" s="5" t="s">
        <v>451</v>
      </c>
      <c r="B25" s="21" t="n">
        <v>0.4</v>
      </c>
      <c r="C25" s="5" t="s">
        <v>167</v>
      </c>
      <c r="D25" s="5" t="s">
        <v>186</v>
      </c>
    </row>
    <row r="26" customFormat="false" ht="15" hidden="false" customHeight="false" outlineLevel="0" collapsed="false">
      <c r="A26" s="5" t="s">
        <v>452</v>
      </c>
      <c r="B26" s="21" t="n">
        <v>0.045</v>
      </c>
      <c r="C26" s="5" t="s">
        <v>135</v>
      </c>
      <c r="D26" s="5" t="s">
        <v>325</v>
      </c>
    </row>
    <row r="27" customFormat="false" ht="15" hidden="false" customHeight="false" outlineLevel="0" collapsed="false">
      <c r="A27" s="5" t="s">
        <v>453</v>
      </c>
      <c r="B27" s="21" t="n">
        <v>0.6</v>
      </c>
      <c r="C27" s="5" t="s">
        <v>167</v>
      </c>
      <c r="D27" s="5" t="s">
        <v>194</v>
      </c>
    </row>
    <row r="28" customFormat="false" ht="15" hidden="false" customHeight="false" outlineLevel="0" collapsed="false">
      <c r="A28" s="5" t="s">
        <v>454</v>
      </c>
      <c r="B28" s="21" t="n">
        <v>0.135</v>
      </c>
      <c r="C28" s="5" t="s">
        <v>135</v>
      </c>
      <c r="D28" s="5" t="s">
        <v>325</v>
      </c>
    </row>
    <row r="29" customFormat="false" ht="15" hidden="false" customHeight="false" outlineLevel="0" collapsed="false">
      <c r="A29" s="5" t="s">
        <v>455</v>
      </c>
      <c r="B29" s="21" t="n">
        <v>0.08</v>
      </c>
      <c r="C29" s="5" t="s">
        <v>167</v>
      </c>
      <c r="D29" s="5" t="s">
        <v>194</v>
      </c>
    </row>
    <row r="31" customFormat="false" ht="15" hidden="false" customHeight="false" outlineLevel="0" collapsed="false">
      <c r="A31" s="18" t="s">
        <v>196</v>
      </c>
    </row>
    <row r="32" customFormat="false" ht="72" hidden="false" customHeight="true" outlineLevel="0" collapsed="false">
      <c r="A32" s="6" t="s">
        <v>197</v>
      </c>
      <c r="B32" s="6" t="s">
        <v>198</v>
      </c>
      <c r="C32" s="6" t="s">
        <v>199</v>
      </c>
      <c r="D32" s="6" t="s">
        <v>200</v>
      </c>
      <c r="E32" s="6" t="s">
        <v>201</v>
      </c>
      <c r="F32" s="6" t="s">
        <v>202</v>
      </c>
      <c r="G32" s="6" t="s">
        <v>203</v>
      </c>
      <c r="H32" s="6" t="s">
        <v>204</v>
      </c>
      <c r="I32" s="6" t="s">
        <v>27</v>
      </c>
      <c r="J32" s="6" t="s">
        <v>205</v>
      </c>
      <c r="K32" s="6" t="s">
        <v>206</v>
      </c>
      <c r="L32" s="6" t="s">
        <v>29</v>
      </c>
      <c r="M32" s="6" t="s">
        <v>30</v>
      </c>
      <c r="N32" s="6" t="s">
        <v>207</v>
      </c>
      <c r="O32" s="6" t="s">
        <v>208</v>
      </c>
      <c r="P32" s="6" t="s">
        <v>209</v>
      </c>
      <c r="Q32" s="6" t="s">
        <v>210</v>
      </c>
      <c r="R32" s="6" t="s">
        <v>211</v>
      </c>
      <c r="S32" s="6" t="s">
        <v>212</v>
      </c>
      <c r="T32" s="6" t="s">
        <v>213</v>
      </c>
      <c r="U32" s="6" t="s">
        <v>214</v>
      </c>
      <c r="V32" s="6" t="s">
        <v>215</v>
      </c>
      <c r="W32" s="6" t="s">
        <v>133</v>
      </c>
    </row>
    <row r="33" customFormat="false" ht="15" hidden="false" customHeight="false" outlineLevel="0" collapsed="false">
      <c r="A33" s="2" t="s">
        <v>456</v>
      </c>
      <c r="B33" s="5" t="s">
        <v>457</v>
      </c>
      <c r="C33" s="5" t="s">
        <v>353</v>
      </c>
      <c r="D33" s="20" t="n">
        <f aca="false">$B$13*$B$14</f>
        <v>1.323</v>
      </c>
      <c r="E33" s="5"/>
      <c r="F33" s="22" t="n">
        <f aca="false">$B$15</f>
        <v>1.486</v>
      </c>
      <c r="G33" s="5"/>
      <c r="H33" s="20" t="n">
        <f aca="false">D33*F33</f>
        <v>1.965978</v>
      </c>
      <c r="I33" s="11" t="n">
        <f aca="false">H33/$H$41</f>
        <v>0.452139674913915</v>
      </c>
      <c r="J33" s="23" t="n">
        <v>0.23</v>
      </c>
      <c r="K33" s="15" t="n">
        <f aca="false">IF(SUMIF($B$33:$B$40,B33,$H$33:$H$40)=0,0,H33/SUMIF($B$33:$B$40,B33,$H$33:$H$40))</f>
        <v>0.825299793714722</v>
      </c>
      <c r="L33" s="24" t="n">
        <f aca="false">K33*INDEX($L$45:$L$50,MATCH(B33,$A$45:$A$50,0))</f>
        <v>0.051240611215359</v>
      </c>
      <c r="M33" s="24" t="n">
        <f aca="false">K33*INDEX($M$45:$M$50,MATCH(B33,$A$45:$A$50,0))</f>
        <v>0.229896324397817</v>
      </c>
      <c r="N33" s="24" t="n">
        <f aca="false">K33*INDEX($N$45:$N$50,MATCH(B33,$A$45:$A$50,0))</f>
        <v>0.54881040356965</v>
      </c>
      <c r="O33" s="24" t="n">
        <f aca="false">K33*INDEX($O$45:$O$50,MATCH(B33,$A$45:$A$50,0))</f>
        <v>0.229896324397817</v>
      </c>
      <c r="P33" s="24" t="n">
        <f aca="false">K33*INDEX($P$45:$P$50,MATCH(B33,$A$45:$A$50,0))</f>
        <v>0.173214630568706</v>
      </c>
      <c r="Q33" s="11" t="n">
        <f aca="false">INDEX($Q$45:$Q$50,MATCH(B33,$A$45:$A$50,0))*K33*$B$9</f>
        <v>-0.0744254336646131</v>
      </c>
      <c r="R33" s="25" t="n">
        <f aca="false">INDEX($R$45:$R$50,MATCH(B33,$A$45:$A$50,0))*K33*$B$9</f>
        <v>-0.032842332056831</v>
      </c>
      <c r="S33" s="11" t="str">
        <f aca="false">IF(INDEX($S$45:$S$50,MATCH(B33,$A$45:$A$50,0))="","no external floor",INDEX($S$45:$S$50,MATCH(B33,$A$45:$A$50,0))/K33)</f>
        <v>no external floor</v>
      </c>
      <c r="T33" s="25" t="n">
        <f aca="false">INDEX($M$45:$M$50,MATCH(B33,$A$45:$A$50,0))*IF(INDEX($S$45:$S$50,MATCH(B33,$A$45:$A$50,0))="",-K33,MAX(-K33,INDEX($S$45:$S$50,MATCH(B33,$A$45:$A$50,0))))</f>
        <v>-0.229896324397817</v>
      </c>
      <c r="U33" s="22" t="n">
        <f aca="false">IF(D33=0,"",M33/D33*6)</f>
        <v>1.04261371608987</v>
      </c>
      <c r="V33" s="22" t="n">
        <f aca="false">IF(OR(J33="",J33=0),"",U33/J33)</f>
        <v>4.53310311343424</v>
      </c>
      <c r="W33" s="2" t="s">
        <v>458</v>
      </c>
    </row>
    <row r="34" customFormat="false" ht="15" hidden="false" customHeight="false" outlineLevel="0" collapsed="false">
      <c r="A34" s="2" t="s">
        <v>459</v>
      </c>
      <c r="B34" s="5" t="s">
        <v>457</v>
      </c>
      <c r="C34" s="5" t="s">
        <v>353</v>
      </c>
      <c r="D34" s="20" t="n">
        <f aca="false">$B$13*$B$16</f>
        <v>0.24</v>
      </c>
      <c r="E34" s="5"/>
      <c r="F34" s="22" t="n">
        <f aca="false">$B$17</f>
        <v>1.734</v>
      </c>
      <c r="G34" s="5"/>
      <c r="H34" s="20" t="n">
        <f aca="false">D34*F34</f>
        <v>0.41616</v>
      </c>
      <c r="I34" s="11" t="n">
        <f aca="false">H34/$H$41</f>
        <v>0.0957093350547031</v>
      </c>
      <c r="J34" s="23" t="n">
        <v>0.23</v>
      </c>
      <c r="K34" s="15" t="n">
        <f aca="false">IF(SUMIF($B$33:$B$40,B34,$H$33:$H$40)=0,0,H34/SUMIF($B$33:$B$40,B34,$H$33:$H$40))</f>
        <v>0.174700206285278</v>
      </c>
      <c r="L34" s="24" t="n">
        <f aca="false">K34*INDEX($L$45:$L$50,MATCH(B34,$A$45:$A$50,0))</f>
        <v>0.0108466588961747</v>
      </c>
      <c r="M34" s="24" t="n">
        <f aca="false">K34*INDEX($M$45:$M$50,MATCH(B34,$A$45:$A$50,0))</f>
        <v>0.0486646617415839</v>
      </c>
      <c r="N34" s="24" t="n">
        <f aca="false">K34*INDEX($N$45:$N$50,MATCH(B34,$A$45:$A$50,0))</f>
        <v>0.116172682272917</v>
      </c>
      <c r="O34" s="24" t="n">
        <f aca="false">K34*INDEX($O$45:$O$50,MATCH(B34,$A$45:$A$50,0))</f>
        <v>0.0486646617415839</v>
      </c>
      <c r="P34" s="24" t="n">
        <f aca="false">K34*INDEX($P$45:$P$50,MATCH(B34,$A$45:$A$50,0))</f>
        <v>0.0366662295597778</v>
      </c>
      <c r="Q34" s="11" t="n">
        <f aca="false">INDEX($Q$45:$Q$50,MATCH(B34,$A$45:$A$50,0))*K34*$B$9</f>
        <v>-0.0157544430679618</v>
      </c>
      <c r="R34" s="25" t="n">
        <f aca="false">INDEX($R$45:$R$50,MATCH(B34,$A$45:$A$50,0))*K34*$B$9</f>
        <v>-0.00695209453451199</v>
      </c>
      <c r="S34" s="11" t="str">
        <f aca="false">IF(INDEX($S$45:$S$50,MATCH(B34,$A$45:$A$50,0))="","no external floor",INDEX($S$45:$S$50,MATCH(B34,$A$45:$A$50,0))/K34)</f>
        <v>no external floor</v>
      </c>
      <c r="T34" s="25" t="n">
        <f aca="false">INDEX($M$45:$M$50,MATCH(B34,$A$45:$A$50,0))*IF(INDEX($S$45:$S$50,MATCH(B34,$A$45:$A$50,0))="",-K34,MAX(-K34,INDEX($S$45:$S$50,MATCH(B34,$A$45:$A$50,0))))</f>
        <v>-0.0486646617415839</v>
      </c>
      <c r="U34" s="22" t="n">
        <f aca="false">IF(D34=0,"",M34/D34*6)</f>
        <v>1.2166165435396</v>
      </c>
      <c r="V34" s="22" t="n">
        <f aca="false">IF(OR(J34="",J34=0),"",U34/J34)</f>
        <v>5.28963714582434</v>
      </c>
      <c r="W34" s="2" t="s">
        <v>325</v>
      </c>
    </row>
    <row r="35" customFormat="false" ht="15" hidden="false" customHeight="false" outlineLevel="0" collapsed="false">
      <c r="A35" s="2" t="s">
        <v>460</v>
      </c>
      <c r="B35" s="5" t="s">
        <v>460</v>
      </c>
      <c r="C35" s="5" t="s">
        <v>353</v>
      </c>
      <c r="D35" s="20" t="n">
        <f aca="false">$B$13*$B$18</f>
        <v>0.4548</v>
      </c>
      <c r="E35" s="5"/>
      <c r="F35" s="22" t="n">
        <f aca="false">$B$19</f>
        <v>1.906</v>
      </c>
      <c r="G35" s="5"/>
      <c r="H35" s="20" t="n">
        <f aca="false">D35*F35</f>
        <v>0.8668488</v>
      </c>
      <c r="I35" s="11" t="n">
        <f aca="false">H35/$H$41</f>
        <v>0.199359674742809</v>
      </c>
      <c r="J35" s="23" t="n">
        <v>0.19</v>
      </c>
      <c r="K35" s="15" t="n">
        <f aca="false">IF(SUMIF($B$33:$B$40,B35,$H$33:$H$40)=0,0,H35/SUMIF($B$33:$B$40,B35,$H$33:$H$40))</f>
        <v>1</v>
      </c>
      <c r="L35" s="24" t="n">
        <f aca="false">K35*INDEX($L$45:$L$50,MATCH(B35,$A$45:$A$50,0))</f>
        <v>0.0180746121648566</v>
      </c>
      <c r="M35" s="24" t="n">
        <f aca="false">K35*INDEX($M$45:$M$50,MATCH(B35,$A$45:$A$50,0))</f>
        <v>0.0810936248233332</v>
      </c>
      <c r="N35" s="24" t="n">
        <f aca="false">K35*INDEX($N$45:$N$50,MATCH(B35,$A$45:$A$50,0))</f>
        <v>0.193587370667166</v>
      </c>
      <c r="O35" s="24" t="n">
        <f aca="false">K35*INDEX($O$45:$O$50,MATCH(B35,$A$45:$A$50,0))</f>
        <v>0.0810936248233332</v>
      </c>
      <c r="P35" s="24" t="n">
        <f aca="false">K35*INDEX($P$45:$P$50,MATCH(B35,$A$45:$A$50,0))</f>
        <v>0.0763746566090396</v>
      </c>
      <c r="Q35" s="11" t="n">
        <f aca="false">INDEX($Q$45:$Q$50,MATCH(B35,$A$45:$A$50,0))*K35*$B$9</f>
        <v>-0.0918906375176667</v>
      </c>
      <c r="R35" s="25" t="n">
        <f aca="false">INDEX($R$45:$R$50,MATCH(B35,$A$45:$A$50,0))*K35*$B$9</f>
        <v>-0.0115848035461905</v>
      </c>
      <c r="S35" s="11" t="str">
        <f aca="false">IF(INDEX($S$45:$S$50,MATCH(B35,$A$45:$A$50,0))="","no external floor",INDEX($S$45:$S$50,MATCH(B35,$A$45:$A$50,0))/K35)</f>
        <v>no external floor</v>
      </c>
      <c r="T35" s="25" t="n">
        <f aca="false">INDEX($M$45:$M$50,MATCH(B35,$A$45:$A$50,0))*IF(INDEX($S$45:$S$50,MATCH(B35,$A$45:$A$50,0))="",-K35,MAX(-K35,INDEX($S$45:$S$50,MATCH(B35,$A$45:$A$50,0))))</f>
        <v>-0.0810936248233332</v>
      </c>
      <c r="U35" s="22" t="n">
        <f aca="false">IF(D35=0,"",M35/D35*6)</f>
        <v>1.06983673909411</v>
      </c>
      <c r="V35" s="22" t="n">
        <f aca="false">IF(OR(J35="",J35=0),"",U35/J35)</f>
        <v>5.63071967944266</v>
      </c>
      <c r="W35" s="2" t="s">
        <v>325</v>
      </c>
    </row>
    <row r="36" customFormat="false" ht="23.85" hidden="false" customHeight="false" outlineLevel="0" collapsed="false">
      <c r="A36" s="2" t="s">
        <v>461</v>
      </c>
      <c r="B36" s="5" t="s">
        <v>462</v>
      </c>
      <c r="C36" s="5" t="s">
        <v>353</v>
      </c>
      <c r="D36" s="20" t="n">
        <f aca="false">$B$13*$B$20</f>
        <v>1.3806</v>
      </c>
      <c r="E36" s="5"/>
      <c r="F36" s="22" t="n">
        <f aca="false">$B$21</f>
        <v>0.514</v>
      </c>
      <c r="G36" s="5"/>
      <c r="H36" s="20" t="n">
        <f aca="false">D36*F36</f>
        <v>0.7096284</v>
      </c>
      <c r="I36" s="11" t="n">
        <f aca="false">H36/$H$41</f>
        <v>0.16320180291218</v>
      </c>
      <c r="J36" s="23"/>
      <c r="K36" s="15" t="n">
        <f aca="false">IF(SUMIF($B$33:$B$40,B36,$H$33:$H$40)=0,0,H36/SUMIF($B$33:$B$40,B36,$H$33:$H$40))</f>
        <v>1</v>
      </c>
      <c r="L36" s="24" t="n">
        <f aca="false">K36*INDEX($L$45:$L$50,MATCH(B36,$A$45:$A$50,0))</f>
        <v>0.00986427937695532</v>
      </c>
      <c r="M36" s="24" t="n">
        <f aca="false">K36*INDEX($M$45:$M$50,MATCH(B36,$A$45:$A$50,0))</f>
        <v>0.0442571139923381</v>
      </c>
      <c r="N36" s="24" t="n">
        <f aca="false">K36*INDEX($N$45:$N$50,MATCH(B36,$A$45:$A$50,0))</f>
        <v>0.105650947898294</v>
      </c>
      <c r="O36" s="24" t="n">
        <f aca="false">K36*INDEX($O$45:$O$50,MATCH(B36,$A$45:$A$50,0))</f>
        <v>0.0442571139923381</v>
      </c>
      <c r="P36" s="24" t="n">
        <f aca="false">K36*INDEX($P$45:$P$50,MATCH(B36,$A$45:$A$50,0))</f>
        <v>0.0625225822196699</v>
      </c>
      <c r="Q36" s="11" t="n">
        <f aca="false">INDEX($Q$45:$Q$50,MATCH(B36,$A$45:$A$50,0))*K36*$B$9</f>
        <v>-0.0637161924005108</v>
      </c>
      <c r="R36" s="25" t="n">
        <f aca="false">INDEX($R$45:$R$50,MATCH(B36,$A$45:$A$50,0))*K36*$B$9</f>
        <v>-0.0063224448560483</v>
      </c>
      <c r="S36" s="11" t="n">
        <f aca="false">IF(INDEX($S$45:$S$50,MATCH(B36,$A$45:$A$50,0))="","no external floor",INDEX($S$45:$S$50,MATCH(B36,$A$45:$A$50,0))/K36)</f>
        <v>-0.886475114952637</v>
      </c>
      <c r="T36" s="25" t="n">
        <f aca="false">INDEX($M$45:$M$50,MATCH(B36,$A$45:$A$50,0))*IF(INDEX($S$45:$S$50,MATCH(B36,$A$45:$A$50,0))="",-K36,MAX(-K36,INDEX($S$45:$S$50,MATCH(B36,$A$45:$A$50,0))))</f>
        <v>-0.0392328302138298</v>
      </c>
      <c r="U36" s="22" t="n">
        <f aca="false">IF(D36=0,"",M36/D36*6)</f>
        <v>0.192338609267006</v>
      </c>
      <c r="V36" s="22" t="str">
        <f aca="false">IF(OR(J36="",J36=0),"",U36/J36)</f>
        <v/>
      </c>
      <c r="W36" s="2" t="s">
        <v>463</v>
      </c>
    </row>
    <row r="37" customFormat="false" ht="23.85" hidden="false" customHeight="false" outlineLevel="0" collapsed="false">
      <c r="A37" s="2" t="s">
        <v>464</v>
      </c>
      <c r="B37" s="5" t="s">
        <v>465</v>
      </c>
      <c r="C37" s="5" t="s">
        <v>353</v>
      </c>
      <c r="D37" s="20" t="n">
        <f aca="false">$B$13*$B$22</f>
        <v>0.726</v>
      </c>
      <c r="E37" s="5"/>
      <c r="F37" s="22" t="n">
        <f aca="false">$B$23</f>
        <v>0.125</v>
      </c>
      <c r="G37" s="5"/>
      <c r="H37" s="20" t="n">
        <f aca="false">D37*F37</f>
        <v>0.09075</v>
      </c>
      <c r="I37" s="11" t="n">
        <f aca="false">H37/$H$41</f>
        <v>0.0208708721554554</v>
      </c>
      <c r="J37" s="23" t="n">
        <v>0.14</v>
      </c>
      <c r="K37" s="15" t="n">
        <f aca="false">IF(SUMIF($B$33:$B$40,B37,$H$33:$H$40)=0,0,H37/SUMIF($B$33:$B$40,B37,$H$33:$H$40))</f>
        <v>1</v>
      </c>
      <c r="L37" s="24" t="n">
        <f aca="false">K37*INDEX($L$45:$L$50,MATCH(B37,$A$45:$A$50,0))</f>
        <v>0.000630740929660295</v>
      </c>
      <c r="M37" s="24" t="n">
        <f aca="false">K37*INDEX($M$45:$M$50,MATCH(B37,$A$45:$A$50,0))</f>
        <v>0.00282988469373878</v>
      </c>
      <c r="N37" s="24" t="n">
        <f aca="false">K37*INDEX($N$45:$N$50,MATCH(B37,$A$45:$A$50,0))</f>
        <v>0.00675552410372117</v>
      </c>
      <c r="O37" s="24" t="n">
        <f aca="false">K37*INDEX($O$45:$O$50,MATCH(B37,$A$45:$A$50,0))</f>
        <v>0.00282988469373878</v>
      </c>
      <c r="P37" s="24" t="n">
        <f aca="false">K37*INDEX($P$45:$P$50,MATCH(B37,$A$45:$A$50,0))</f>
        <v>0.00799562748113666</v>
      </c>
      <c r="Q37" s="11" t="n">
        <f aca="false">INDEX($Q$45:$Q$50,MATCH(B37,$A$45:$A$50,0))*K37*$B$9</f>
        <v>-0.033239003843542</v>
      </c>
      <c r="R37" s="25" t="n">
        <f aca="false">INDEX($R$45:$R$50,MATCH(B37,$A$45:$A$50,0))*K37*$B$9</f>
        <v>-0.000404269241962683</v>
      </c>
      <c r="S37" s="11" t="n">
        <f aca="false">IF(INDEX($S$45:$S$50,MATCH(B37,$A$45:$A$50,0))="","no external floor",INDEX($S$45:$S$50,MATCH(B37,$A$45:$A$50,0))/K37)</f>
        <v>-0.875735487672739</v>
      </c>
      <c r="T37" s="25" t="n">
        <f aca="false">INDEX($M$45:$M$50,MATCH(B37,$A$45:$A$50,0))*IF(INDEX($S$45:$S$50,MATCH(B37,$A$45:$A$50,0))="",-K37,MAX(-K37,INDEX($S$45:$S$50,MATCH(B37,$A$45:$A$50,0))))</f>
        <v>-0.00247823045232895</v>
      </c>
      <c r="U37" s="22" t="n">
        <f aca="false">IF(D37=0,"",M37/D37*6)</f>
        <v>0.0233874768077585</v>
      </c>
      <c r="V37" s="22" t="n">
        <f aca="false">IF(OR(J37="",J37=0),"",U37/J37)</f>
        <v>0.167053405769704</v>
      </c>
      <c r="W37" s="2" t="s">
        <v>466</v>
      </c>
    </row>
    <row r="38" customFormat="false" ht="15" hidden="false" customHeight="false" outlineLevel="0" collapsed="false">
      <c r="A38" s="2" t="s">
        <v>467</v>
      </c>
      <c r="B38" s="5" t="s">
        <v>468</v>
      </c>
      <c r="C38" s="5" t="s">
        <v>353</v>
      </c>
      <c r="D38" s="20" t="n">
        <f aca="false">$B$13*$B$24</f>
        <v>0.18</v>
      </c>
      <c r="E38" s="5"/>
      <c r="F38" s="22" t="n">
        <f aca="false">$B$25</f>
        <v>0.4</v>
      </c>
      <c r="G38" s="5"/>
      <c r="H38" s="20" t="n">
        <f aca="false">D38*F38</f>
        <v>0.072</v>
      </c>
      <c r="I38" s="11" t="n">
        <f aca="false">H38/$H$41</f>
        <v>0.0165587084869728</v>
      </c>
      <c r="J38" s="23"/>
      <c r="K38" s="15" t="n">
        <f aca="false">IF(SUMIF($B$33:$B$40,B38,$H$33:$H$40)=0,0,H38/SUMIF($B$33:$B$40,B38,$H$33:$H$40))</f>
        <v>0.307692307692308</v>
      </c>
      <c r="L38" s="24" t="n">
        <f aca="false">K38*INDEX($L$45:$L$50,MATCH(B38,$A$45:$A$50,0))</f>
        <v>0.00075063383364531</v>
      </c>
      <c r="M38" s="24" t="n">
        <f aca="false">K38*INDEX($M$45:$M$50,MATCH(B38,$A$45:$A$50,0))</f>
        <v>0.00336779666031723</v>
      </c>
      <c r="N38" s="24" t="n">
        <f aca="false">K38*INDEX($N$45:$N$50,MATCH(B38,$A$45:$A$50,0))</f>
        <v>0.00803963199120536</v>
      </c>
      <c r="O38" s="24" t="n">
        <f aca="false">K38*INDEX($O$45:$O$50,MATCH(B38,$A$45:$A$50,0))</f>
        <v>0.00336779666031723</v>
      </c>
      <c r="P38" s="24" t="n">
        <f aca="false">K38*INDEX($P$45:$P$50,MATCH(B38,$A$45:$A$50,0))</f>
        <v>0.00634363833214148</v>
      </c>
      <c r="Q38" s="11" t="n">
        <f aca="false">INDEX($Q$45:$Q$50,MATCH(B38,$A$45:$A$50,0))*K38*$B$9</f>
        <v>-0.0152162255515995</v>
      </c>
      <c r="R38" s="25" t="n">
        <f aca="false">INDEX($R$45:$R$50,MATCH(B38,$A$45:$A$50,0))*K38*$B$9</f>
        <v>-0.000481113808616746</v>
      </c>
      <c r="S38" s="11" t="n">
        <f aca="false">IF(INDEX($S$45:$S$50,MATCH(B38,$A$45:$A$50,0))="","no external floor",INDEX($S$45:$S$50,MATCH(B38,$A$45:$A$50,0))/K38)</f>
        <v>-3.17988186374406</v>
      </c>
      <c r="T38" s="25" t="n">
        <f aca="false">INDEX($M$45:$M$50,MATCH(B38,$A$45:$A$50,0))*IF(INDEX($S$45:$S$50,MATCH(B38,$A$45:$A$50,0))="",-K38,MAX(-K38,INDEX($S$45:$S$50,MATCH(B38,$A$45:$A$50,0))))</f>
        <v>-0.00336779666031723</v>
      </c>
      <c r="U38" s="22" t="n">
        <f aca="false">IF(D38=0,"",M38/D38*6)</f>
        <v>0.112259888677241</v>
      </c>
      <c r="V38" s="22" t="str">
        <f aca="false">IF(OR(J38="",J38=0),"",U38/J38)</f>
        <v/>
      </c>
      <c r="W38" s="2" t="s">
        <v>186</v>
      </c>
    </row>
    <row r="39" customFormat="false" ht="15" hidden="false" customHeight="false" outlineLevel="0" collapsed="false">
      <c r="A39" s="2" t="s">
        <v>469</v>
      </c>
      <c r="B39" s="5" t="s">
        <v>468</v>
      </c>
      <c r="C39" s="5" t="s">
        <v>353</v>
      </c>
      <c r="D39" s="20" t="n">
        <f aca="false">$B$13*$B$26</f>
        <v>0.27</v>
      </c>
      <c r="E39" s="5"/>
      <c r="F39" s="22" t="n">
        <f aca="false">$B$27</f>
        <v>0.6</v>
      </c>
      <c r="G39" s="5"/>
      <c r="H39" s="20" t="n">
        <f aca="false">D39*F39</f>
        <v>0.162</v>
      </c>
      <c r="I39" s="11" t="n">
        <f aca="false">H39/$H$41</f>
        <v>0.0372570940956889</v>
      </c>
      <c r="J39" s="23"/>
      <c r="K39" s="15" t="n">
        <f aca="false">IF(SUMIF($B$33:$B$40,B39,$H$33:$H$40)=0,0,H39/SUMIF($B$33:$B$40,B39,$H$33:$H$40))</f>
        <v>0.692307692307692</v>
      </c>
      <c r="L39" s="24" t="n">
        <f aca="false">K39*INDEX($L$45:$L$50,MATCH(B39,$A$45:$A$50,0))</f>
        <v>0.00168892612570195</v>
      </c>
      <c r="M39" s="24" t="n">
        <f aca="false">K39*INDEX($M$45:$M$50,MATCH(B39,$A$45:$A$50,0))</f>
        <v>0.00757754248571376</v>
      </c>
      <c r="N39" s="24" t="n">
        <f aca="false">K39*INDEX($N$45:$N$50,MATCH(B39,$A$45:$A$50,0))</f>
        <v>0.0180891719802121</v>
      </c>
      <c r="O39" s="24" t="n">
        <f aca="false">K39*INDEX($O$45:$O$50,MATCH(B39,$A$45:$A$50,0))</f>
        <v>0.00757754248571376</v>
      </c>
      <c r="P39" s="24" t="n">
        <f aca="false">K39*INDEX($P$45:$P$50,MATCH(B39,$A$45:$A$50,0))</f>
        <v>0.0142731862473183</v>
      </c>
      <c r="Q39" s="11" t="n">
        <f aca="false">INDEX($Q$45:$Q$50,MATCH(B39,$A$45:$A$50,0))*K39*$B$9</f>
        <v>-0.0342365074910989</v>
      </c>
      <c r="R39" s="25" t="n">
        <f aca="false">INDEX($R$45:$R$50,MATCH(B39,$A$45:$A$50,0))*K39*$B$9</f>
        <v>-0.00108250606938768</v>
      </c>
      <c r="S39" s="11" t="n">
        <f aca="false">IF(INDEX($S$45:$S$50,MATCH(B39,$A$45:$A$50,0))="","no external floor",INDEX($S$45:$S$50,MATCH(B39,$A$45:$A$50,0))/K39)</f>
        <v>-1.41328082833069</v>
      </c>
      <c r="T39" s="25" t="n">
        <f aca="false">INDEX($M$45:$M$50,MATCH(B39,$A$45:$A$50,0))*IF(INDEX($S$45:$S$50,MATCH(B39,$A$45:$A$50,0))="",-K39,MAX(-K39,INDEX($S$45:$S$50,MATCH(B39,$A$45:$A$50,0))))</f>
        <v>-0.00757754248571376</v>
      </c>
      <c r="U39" s="22" t="n">
        <f aca="false">IF(D39=0,"",M39/D39*6)</f>
        <v>0.168389833015861</v>
      </c>
      <c r="V39" s="22" t="str">
        <f aca="false">IF(OR(J39="",J39=0),"",U39/J39)</f>
        <v/>
      </c>
      <c r="W39" s="2" t="s">
        <v>470</v>
      </c>
    </row>
    <row r="40" customFormat="false" ht="15" hidden="false" customHeight="false" outlineLevel="0" collapsed="false">
      <c r="A40" s="2" t="s">
        <v>471</v>
      </c>
      <c r="B40" s="5" t="s">
        <v>472</v>
      </c>
      <c r="C40" s="5" t="s">
        <v>353</v>
      </c>
      <c r="D40" s="20" t="n">
        <f aca="false">$B$13*$B$28</f>
        <v>0.81</v>
      </c>
      <c r="E40" s="5"/>
      <c r="F40" s="22" t="n">
        <f aca="false">$B$29</f>
        <v>0.08</v>
      </c>
      <c r="G40" s="5"/>
      <c r="H40" s="20" t="n">
        <f aca="false">D40*F40</f>
        <v>0.0648</v>
      </c>
      <c r="I40" s="11" t="n">
        <f aca="false">H40/$H$41</f>
        <v>0.0149028376382756</v>
      </c>
      <c r="J40" s="23"/>
      <c r="K40" s="15" t="n">
        <f aca="false">IF(SUMIF($B$33:$B$40,B40,$H$33:$H$40)=0,0,H40/SUMIF($B$33:$B$40,B40,$H$33:$H$40))</f>
        <v>1</v>
      </c>
      <c r="L40" s="24" t="n">
        <f aca="false">K40*INDEX($L$45:$L$50,MATCH(B40,$A$45:$A$50,0))</f>
        <v>0.000270228180112312</v>
      </c>
      <c r="M40" s="24" t="n">
        <f aca="false">K40*INDEX($M$45:$M$50,MATCH(B40,$A$45:$A$50,0))</f>
        <v>0.0012124067977142</v>
      </c>
      <c r="N40" s="24" t="n">
        <f aca="false">K40*INDEX($N$45:$N$50,MATCH(B40,$A$45:$A$50,0))</f>
        <v>0.00289426751683393</v>
      </c>
      <c r="O40" s="24" t="n">
        <f aca="false">K40*INDEX($O$45:$O$50,MATCH(B40,$A$45:$A$50,0))</f>
        <v>0.0012124067977142</v>
      </c>
      <c r="P40" s="24" t="n">
        <f aca="false">K40*INDEX($P$45:$P$50,MATCH(B40,$A$45:$A$50,0))</f>
        <v>0.00570927449892734</v>
      </c>
      <c r="Q40" s="11" t="n">
        <f aca="false">INDEX($Q$45:$Q$50,MATCH(B40,$A$45:$A$50,0))*K40*$B$9</f>
        <v>-0.0199757518640457</v>
      </c>
      <c r="R40" s="25" t="n">
        <f aca="false">INDEX($R$45:$R$50,MATCH(B40,$A$45:$A$50,0))*K40*$B$9</f>
        <v>-0.000173200971102029</v>
      </c>
      <c r="S40" s="11" t="str">
        <f aca="false">IF(INDEX($S$45:$S$50,MATCH(B40,$A$45:$A$50,0))="","no external floor",INDEX($S$45:$S$50,MATCH(B40,$A$45:$A$50,0))/K40)</f>
        <v>no external floor</v>
      </c>
      <c r="T40" s="25" t="n">
        <f aca="false">INDEX($M$45:$M$50,MATCH(B40,$A$45:$A$50,0))*IF(INDEX($S$45:$S$50,MATCH(B40,$A$45:$A$50,0))="",-K40,MAX(-K40,INDEX($S$45:$S$50,MATCH(B40,$A$45:$A$50,0))))</f>
        <v>-0.0012124067977142</v>
      </c>
      <c r="U40" s="22" t="n">
        <f aca="false">IF(D40=0,"",M40/D40*6)</f>
        <v>0.00898079109417927</v>
      </c>
      <c r="V40" s="22" t="str">
        <f aca="false">IF(OR(J40="",J40=0),"",U40/J40)</f>
        <v/>
      </c>
      <c r="W40" s="2" t="s">
        <v>473</v>
      </c>
    </row>
    <row r="41" customFormat="false" ht="15" hidden="false" customHeight="false" outlineLevel="0" collapsed="false">
      <c r="A41" s="14" t="s">
        <v>252</v>
      </c>
      <c r="H41" s="26" t="n">
        <f aca="false">SUM(H33:H40)</f>
        <v>4.3481652</v>
      </c>
      <c r="I41" s="27" t="n">
        <f aca="false">SUM(I33:I40)</f>
        <v>1</v>
      </c>
    </row>
    <row r="42" customFormat="false" ht="15" hidden="false" customHeight="false" outlineLevel="0" collapsed="false">
      <c r="A42" s="5" t="s">
        <v>474</v>
      </c>
    </row>
    <row r="44" customFormat="false" ht="72" hidden="false" customHeight="true" outlineLevel="0" collapsed="false">
      <c r="A44" s="6" t="s">
        <v>254</v>
      </c>
      <c r="B44" s="6" t="s">
        <v>255</v>
      </c>
      <c r="C44" s="6" t="s">
        <v>256</v>
      </c>
      <c r="D44" s="6" t="s">
        <v>27</v>
      </c>
      <c r="E44" s="6" t="s">
        <v>257</v>
      </c>
      <c r="F44" s="6" t="s">
        <v>258</v>
      </c>
      <c r="G44" s="6" t="s">
        <v>259</v>
      </c>
      <c r="H44" s="6" t="s">
        <v>260</v>
      </c>
      <c r="I44" s="6" t="s">
        <v>261</v>
      </c>
      <c r="J44" s="6" t="s">
        <v>262</v>
      </c>
      <c r="K44" s="6" t="s">
        <v>263</v>
      </c>
      <c r="L44" s="6" t="s">
        <v>264</v>
      </c>
      <c r="M44" s="6" t="s">
        <v>265</v>
      </c>
      <c r="N44" s="6" t="s">
        <v>266</v>
      </c>
      <c r="O44" s="6" t="s">
        <v>267</v>
      </c>
      <c r="P44" s="6" t="s">
        <v>268</v>
      </c>
      <c r="Q44" s="6" t="s">
        <v>269</v>
      </c>
      <c r="R44" s="6" t="s">
        <v>270</v>
      </c>
      <c r="S44" s="6" t="s">
        <v>271</v>
      </c>
      <c r="T44" s="6" t="s">
        <v>272</v>
      </c>
      <c r="U44" s="6" t="s">
        <v>273</v>
      </c>
    </row>
    <row r="45" customFormat="false" ht="57.45" hidden="false" customHeight="false" outlineLevel="0" collapsed="false">
      <c r="A45" s="5" t="s">
        <v>457</v>
      </c>
      <c r="B45" s="5" t="s">
        <v>353</v>
      </c>
      <c r="C45" s="20" t="n">
        <f aca="false">SUMIF($B$33:$B$40,A45,$H$33:$H$40)</f>
        <v>2.382138</v>
      </c>
      <c r="D45" s="11" t="n">
        <f aca="false">C45/$H$41</f>
        <v>0.547849009968618</v>
      </c>
      <c r="E45" s="11" t="n">
        <f aca="false">C45/SUMIF($B$45:$B$50,B45,$C$45:$C$50)</f>
        <v>0.547849009968618</v>
      </c>
      <c r="F45" s="28" t="n">
        <v>-0.8</v>
      </c>
      <c r="G45" s="23"/>
      <c r="H45" s="2"/>
      <c r="I45" s="15" t="n">
        <f aca="false">E45/ABS(F45)</f>
        <v>0.684811262460773</v>
      </c>
      <c r="J45" s="15" t="n">
        <f aca="false">INDEX($G$55:$G$55,MATCH(B45,$A$55:$A$55,0))</f>
        <v>-0.971045779026829</v>
      </c>
      <c r="K45" s="24" t="n">
        <f aca="false">INDEX($I$55:$I$55,MATCH(B45,$A$55:$A$55,0))</f>
        <v>1</v>
      </c>
      <c r="L45" s="24" t="n">
        <f aca="false">$B$7*K45*I45/(1+$B$7*$B$68)</f>
        <v>0.0620872701115337</v>
      </c>
      <c r="M45" s="24" t="n">
        <f aca="false">$B$8*K45*I45/(1+$B$8*$B$68)</f>
        <v>0.278560986139401</v>
      </c>
      <c r="N45" s="24" t="n">
        <f aca="false">K45*I45/$B$68</f>
        <v>0.664983085842568</v>
      </c>
      <c r="O45" s="24" t="n">
        <f aca="false">$B$8*(D45/ABS(F45))/(1+$B$8*$B$60)</f>
        <v>0.278560986139401</v>
      </c>
      <c r="P45" s="24" t="n">
        <f aca="false">$B$8*D45/($B$8+ABS($B$61))</f>
        <v>0.209880860128484</v>
      </c>
      <c r="Q45" s="24" t="n">
        <f aca="false">IF(T45="",(M45-1)/F45,((J45*((M45-T45*ABS(J45)*I45)/$B$67)+ABS(J45)*I45)-1)/F45)</f>
        <v>0.901798767325749</v>
      </c>
      <c r="R45" s="24" t="n">
        <f aca="false">M45/$B$8</f>
        <v>0.39794426591343</v>
      </c>
      <c r="S45" s="11" t="str">
        <f aca="false">IF(OR(G45="",G45&lt;=0,G45&gt;=1),"",EXP(LN(G45)/Q45)-1)</f>
        <v/>
      </c>
      <c r="T45" s="15" t="str">
        <f aca="false">INDEX($E$55:$E$55,MATCH(B45,$A$55:$A$55,0))</f>
        <v/>
      </c>
      <c r="U45" s="2" t="s">
        <v>475</v>
      </c>
    </row>
    <row r="46" customFormat="false" ht="15" hidden="false" customHeight="false" outlineLevel="0" collapsed="false">
      <c r="A46" s="5" t="s">
        <v>460</v>
      </c>
      <c r="B46" s="5" t="s">
        <v>353</v>
      </c>
      <c r="C46" s="20" t="n">
        <f aca="false">SUMIF($B$33:$B$40,A46,$H$33:$H$40)</f>
        <v>0.8668488</v>
      </c>
      <c r="D46" s="11" t="n">
        <f aca="false">C46/$H$41</f>
        <v>0.199359674742809</v>
      </c>
      <c r="E46" s="11" t="n">
        <f aca="false">C46/SUMIF($B$45:$B$50,B46,$C$45:$C$50)</f>
        <v>0.199359674742809</v>
      </c>
      <c r="F46" s="28" t="n">
        <v>-1</v>
      </c>
      <c r="G46" s="23"/>
      <c r="H46" s="2"/>
      <c r="I46" s="15" t="n">
        <f aca="false">E46/ABS(F46)</f>
        <v>0.199359674742809</v>
      </c>
      <c r="J46" s="15" t="n">
        <f aca="false">INDEX($G$55:$G$55,MATCH(B46,$A$55:$A$55,0))</f>
        <v>-0.971045779026829</v>
      </c>
      <c r="K46" s="24" t="n">
        <f aca="false">INDEX($I$55:$I$55,MATCH(B46,$A$55:$A$55,0))</f>
        <v>1</v>
      </c>
      <c r="L46" s="24" t="n">
        <f aca="false">$B$7*K46*I46/(1+$B$7*$B$68)</f>
        <v>0.0180746121648566</v>
      </c>
      <c r="M46" s="24" t="n">
        <f aca="false">$B$8*K46*I46/(1+$B$8*$B$68)</f>
        <v>0.0810936248233332</v>
      </c>
      <c r="N46" s="24" t="n">
        <f aca="false">K46*I46/$B$68</f>
        <v>0.193587370667166</v>
      </c>
      <c r="O46" s="24" t="n">
        <f aca="false">$B$8*(D46/ABS(F46))/(1+$B$8*$B$60)</f>
        <v>0.0810936248233332</v>
      </c>
      <c r="P46" s="24" t="n">
        <f aca="false">$B$8*D46/($B$8+ABS($B$61))</f>
        <v>0.0763746566090396</v>
      </c>
      <c r="Q46" s="24" t="n">
        <f aca="false">IF(T46="",(M46-1)/F46,((J46*((M46-T46*ABS(J46)*I46)/$B$67)+ABS(J46)*I46)-1)/F46)</f>
        <v>0.918906375176667</v>
      </c>
      <c r="R46" s="24" t="n">
        <f aca="false">M46/$B$8</f>
        <v>0.115848035461905</v>
      </c>
      <c r="S46" s="11" t="str">
        <f aca="false">IF(OR(G46="",G46&lt;=0,G46&gt;=1),"",EXP(LN(G46)/Q46)-1)</f>
        <v/>
      </c>
      <c r="T46" s="15" t="str">
        <f aca="false">INDEX($E$55:$E$55,MATCH(B46,$A$55:$A$55,0))</f>
        <v/>
      </c>
      <c r="U46" s="2" t="s">
        <v>186</v>
      </c>
    </row>
    <row r="47" customFormat="false" ht="46.25" hidden="false" customHeight="false" outlineLevel="0" collapsed="false">
      <c r="A47" s="5" t="s">
        <v>462</v>
      </c>
      <c r="B47" s="5" t="s">
        <v>353</v>
      </c>
      <c r="C47" s="20" t="n">
        <f aca="false">SUMIF($B$33:$B$40,A47,$H$33:$H$40)</f>
        <v>0.7096284</v>
      </c>
      <c r="D47" s="11" t="n">
        <f aca="false">C47/$H$41</f>
        <v>0.16320180291218</v>
      </c>
      <c r="E47" s="11" t="n">
        <f aca="false">C47/SUMIF($B$45:$B$50,B47,$C$45:$C$50)</f>
        <v>0.16320180291218</v>
      </c>
      <c r="F47" s="28" t="n">
        <v>-1.5</v>
      </c>
      <c r="G47" s="23" t="n">
        <v>0.25</v>
      </c>
      <c r="H47" s="2" t="s">
        <v>476</v>
      </c>
      <c r="I47" s="15" t="n">
        <f aca="false">E47/ABS(F47)</f>
        <v>0.108801201941453</v>
      </c>
      <c r="J47" s="15" t="n">
        <f aca="false">INDEX($G$55:$G$55,MATCH(B47,$A$55:$A$55,0))</f>
        <v>-0.971045779026829</v>
      </c>
      <c r="K47" s="24" t="n">
        <f aca="false">INDEX($I$55:$I$55,MATCH(B47,$A$55:$A$55,0))</f>
        <v>1</v>
      </c>
      <c r="L47" s="24" t="n">
        <f aca="false">$B$7*K47*I47/(1+$B$7*$B$68)</f>
        <v>0.00986427937695532</v>
      </c>
      <c r="M47" s="24" t="n">
        <f aca="false">$B$8*K47*I47/(1+$B$8*$B$68)</f>
        <v>0.0442571139923381</v>
      </c>
      <c r="N47" s="24" t="n">
        <f aca="false">K47*I47/$B$68</f>
        <v>0.105650947898294</v>
      </c>
      <c r="O47" s="24" t="n">
        <f aca="false">$B$8*(D47/ABS(F47))/(1+$B$8*$B$60)</f>
        <v>0.0442571139923381</v>
      </c>
      <c r="P47" s="24" t="n">
        <f aca="false">$B$8*D47/($B$8+ABS($B$61))</f>
        <v>0.0625225822196699</v>
      </c>
      <c r="Q47" s="24" t="n">
        <f aca="false">IF(T47="",(M47-1)/F47,((J47*((M47-T47*ABS(J47)*I47)/$B$67)+ABS(J47)*I47)-1)/F47)</f>
        <v>0.637161924005108</v>
      </c>
      <c r="R47" s="24" t="n">
        <f aca="false">M47/$B$8</f>
        <v>0.063224448560483</v>
      </c>
      <c r="S47" s="11" t="n">
        <f aca="false">IF(OR(G47="",G47&lt;=0,G47&gt;=1),"",EXP(LN(G47)/Q47)-1)</f>
        <v>-0.886475114952637</v>
      </c>
      <c r="T47" s="15" t="str">
        <f aca="false">INDEX($E$55:$E$55,MATCH(B47,$A$55:$A$55,0))</f>
        <v/>
      </c>
      <c r="U47" s="2" t="s">
        <v>477</v>
      </c>
    </row>
    <row r="48" customFormat="false" ht="23.85" hidden="false" customHeight="false" outlineLevel="0" collapsed="false">
      <c r="A48" s="5" t="s">
        <v>465</v>
      </c>
      <c r="B48" s="5" t="s">
        <v>353</v>
      </c>
      <c r="C48" s="20" t="n">
        <f aca="false">SUMIF($B$33:$B$40,A48,$H$33:$H$40)</f>
        <v>0.09075</v>
      </c>
      <c r="D48" s="11" t="n">
        <f aca="false">C48/$H$41</f>
        <v>0.0208708721554554</v>
      </c>
      <c r="E48" s="11" t="n">
        <f aca="false">C48/SUMIF($B$45:$B$50,B48,$C$45:$C$50)</f>
        <v>0.0208708721554554</v>
      </c>
      <c r="F48" s="28" t="n">
        <v>-3</v>
      </c>
      <c r="G48" s="23" t="n">
        <v>0.5</v>
      </c>
      <c r="H48" s="2" t="s">
        <v>478</v>
      </c>
      <c r="I48" s="15" t="n">
        <f aca="false">E48/ABS(F48)</f>
        <v>0.00695695738515179</v>
      </c>
      <c r="J48" s="15" t="n">
        <f aca="false">INDEX($G$55:$G$55,MATCH(B48,$A$55:$A$55,0))</f>
        <v>-0.971045779026829</v>
      </c>
      <c r="K48" s="24" t="n">
        <f aca="false">INDEX($I$55:$I$55,MATCH(B48,$A$55:$A$55,0))</f>
        <v>1</v>
      </c>
      <c r="L48" s="24" t="n">
        <f aca="false">$B$7*K48*I48/(1+$B$7*$B$68)</f>
        <v>0.000630740929660295</v>
      </c>
      <c r="M48" s="24" t="n">
        <f aca="false">$B$8*K48*I48/(1+$B$8*$B$68)</f>
        <v>0.00282988469373878</v>
      </c>
      <c r="N48" s="24" t="n">
        <f aca="false">K48*I48/$B$68</f>
        <v>0.00675552410372117</v>
      </c>
      <c r="O48" s="24" t="n">
        <f aca="false">$B$8*(D48/ABS(F48))/(1+$B$8*$B$60)</f>
        <v>0.00282988469373878</v>
      </c>
      <c r="P48" s="24" t="n">
        <f aca="false">$B$8*D48/($B$8+ABS($B$61))</f>
        <v>0.00799562748113666</v>
      </c>
      <c r="Q48" s="24" t="n">
        <f aca="false">IF(T48="",(M48-1)/F48,((J48*((M48-T48*ABS(J48)*I48)/$B$67)+ABS(J48)*I48)-1)/F48)</f>
        <v>0.33239003843542</v>
      </c>
      <c r="R48" s="24" t="n">
        <f aca="false">M48/$B$8</f>
        <v>0.00404269241962683</v>
      </c>
      <c r="S48" s="11" t="n">
        <f aca="false">IF(OR(G48="",G48&lt;=0,G48&gt;=1),"",EXP(LN(G48)/Q48)-1)</f>
        <v>-0.875735487672739</v>
      </c>
      <c r="T48" s="15" t="str">
        <f aca="false">INDEX($E$55:$E$55,MATCH(B48,$A$55:$A$55,0))</f>
        <v/>
      </c>
      <c r="U48" s="2" t="s">
        <v>479</v>
      </c>
    </row>
    <row r="49" customFormat="false" ht="15" hidden="false" customHeight="false" outlineLevel="0" collapsed="false">
      <c r="A49" s="5" t="s">
        <v>468</v>
      </c>
      <c r="B49" s="5" t="s">
        <v>353</v>
      </c>
      <c r="C49" s="20" t="n">
        <f aca="false">SUMIF($B$33:$B$40,A49,$H$33:$H$40)</f>
        <v>0.234</v>
      </c>
      <c r="D49" s="11" t="n">
        <f aca="false">C49/$H$41</f>
        <v>0.0538158025826618</v>
      </c>
      <c r="E49" s="11" t="n">
        <f aca="false">C49/SUMIF($B$45:$B$50,B49,$C$45:$C$50)</f>
        <v>0.0538158025826618</v>
      </c>
      <c r="F49" s="28" t="n">
        <v>-2</v>
      </c>
      <c r="G49" s="23" t="n">
        <v>0.15</v>
      </c>
      <c r="H49" s="2" t="s">
        <v>478</v>
      </c>
      <c r="I49" s="15" t="n">
        <f aca="false">E49/ABS(F49)</f>
        <v>0.0269079012913309</v>
      </c>
      <c r="J49" s="15" t="n">
        <f aca="false">INDEX($G$55:$G$55,MATCH(B49,$A$55:$A$55,0))</f>
        <v>-0.971045779026829</v>
      </c>
      <c r="K49" s="24" t="n">
        <f aca="false">INDEX($I$55:$I$55,MATCH(B49,$A$55:$A$55,0))</f>
        <v>1</v>
      </c>
      <c r="L49" s="24" t="n">
        <f aca="false">$B$7*K49*I49/(1+$B$7*$B$68)</f>
        <v>0.00243955995934726</v>
      </c>
      <c r="M49" s="24" t="n">
        <f aca="false">$B$8*K49*I49/(1+$B$8*$B$68)</f>
        <v>0.010945339146031</v>
      </c>
      <c r="N49" s="24" t="n">
        <f aca="false">K49*I49/$B$68</f>
        <v>0.0261288039714174</v>
      </c>
      <c r="O49" s="24" t="n">
        <f aca="false">$B$8*(D49/ABS(F49))/(1+$B$8*$B$60)</f>
        <v>0.010945339146031</v>
      </c>
      <c r="P49" s="24" t="n">
        <f aca="false">$B$8*D49/($B$8+ABS($B$61))</f>
        <v>0.0206168245794598</v>
      </c>
      <c r="Q49" s="24" t="n">
        <f aca="false">IF(T49="",(M49-1)/F49,((J49*((M49-T49*ABS(J49)*I49)/$B$67)+ABS(J49)*I49)-1)/F49)</f>
        <v>0.494527330426985</v>
      </c>
      <c r="R49" s="24" t="n">
        <f aca="false">M49/$B$8</f>
        <v>0.0156361987800443</v>
      </c>
      <c r="S49" s="11" t="n">
        <f aca="false">IF(OR(G49="",G49&lt;=0,G49&gt;=1),"",EXP(LN(G49)/Q49)-1)</f>
        <v>-0.978425188844326</v>
      </c>
      <c r="T49" s="15" t="str">
        <f aca="false">INDEX($E$55:$E$55,MATCH(B49,$A$55:$A$55,0))</f>
        <v/>
      </c>
      <c r="U49" s="2" t="s">
        <v>186</v>
      </c>
    </row>
    <row r="50" customFormat="false" ht="23.85" hidden="false" customHeight="false" outlineLevel="0" collapsed="false">
      <c r="A50" s="5" t="s">
        <v>472</v>
      </c>
      <c r="B50" s="5" t="s">
        <v>353</v>
      </c>
      <c r="C50" s="20" t="n">
        <f aca="false">SUMIF($B$33:$B$40,A50,$H$33:$H$40)</f>
        <v>0.0648</v>
      </c>
      <c r="D50" s="11" t="n">
        <f aca="false">C50/$H$41</f>
        <v>0.0149028376382756</v>
      </c>
      <c r="E50" s="11" t="n">
        <f aca="false">C50/SUMIF($B$45:$B$50,B50,$C$45:$C$50)</f>
        <v>0.0149028376382756</v>
      </c>
      <c r="F50" s="28" t="n">
        <v>-5</v>
      </c>
      <c r="G50" s="23"/>
      <c r="H50" s="2" t="s">
        <v>480</v>
      </c>
      <c r="I50" s="15" t="n">
        <f aca="false">E50/ABS(F50)</f>
        <v>0.00298056752765511</v>
      </c>
      <c r="J50" s="15" t="n">
        <f aca="false">INDEX($G$55:$G$55,MATCH(B50,$A$55:$A$55,0))</f>
        <v>-0.971045779026829</v>
      </c>
      <c r="K50" s="24" t="n">
        <f aca="false">INDEX($I$55:$I$55,MATCH(B50,$A$55:$A$55,0))</f>
        <v>1</v>
      </c>
      <c r="L50" s="24" t="n">
        <f aca="false">$B$7*K50*I50/(1+$B$7*$B$68)</f>
        <v>0.000270228180112312</v>
      </c>
      <c r="M50" s="24" t="n">
        <f aca="false">$B$8*K50*I50/(1+$B$8*$B$68)</f>
        <v>0.0012124067977142</v>
      </c>
      <c r="N50" s="24" t="n">
        <f aca="false">K50*I50/$B$68</f>
        <v>0.00289426751683393</v>
      </c>
      <c r="O50" s="24" t="n">
        <f aca="false">$B$8*(D50/ABS(F50))/(1+$B$8*$B$60)</f>
        <v>0.0012124067977142</v>
      </c>
      <c r="P50" s="24" t="n">
        <f aca="false">$B$8*D50/($B$8+ABS($B$61))</f>
        <v>0.00570927449892734</v>
      </c>
      <c r="Q50" s="24" t="n">
        <f aca="false">IF(T50="",(M50-1)/F50,((J50*((M50-T50*ABS(J50)*I50)/$B$67)+ABS(J50)*I50)-1)/F50)</f>
        <v>0.199757518640457</v>
      </c>
      <c r="R50" s="24" t="n">
        <f aca="false">M50/$B$8</f>
        <v>0.00173200971102029</v>
      </c>
      <c r="S50" s="11" t="str">
        <f aca="false">IF(OR(G50="",G50&lt;=0,G50&gt;=1),"",EXP(LN(G50)/Q50)-1)</f>
        <v/>
      </c>
      <c r="T50" s="15" t="str">
        <f aca="false">INDEX($E$55:$E$55,MATCH(B50,$A$55:$A$55,0))</f>
        <v/>
      </c>
      <c r="U50" s="2" t="s">
        <v>186</v>
      </c>
    </row>
    <row r="54" customFormat="false" ht="72" hidden="false" customHeight="true" outlineLevel="0" collapsed="false">
      <c r="A54" s="6" t="s">
        <v>255</v>
      </c>
      <c r="B54" s="6" t="s">
        <v>288</v>
      </c>
      <c r="C54" s="6" t="s">
        <v>289</v>
      </c>
      <c r="D54" s="6" t="s">
        <v>290</v>
      </c>
      <c r="E54" s="6" t="s">
        <v>291</v>
      </c>
      <c r="F54" s="6" t="s">
        <v>292</v>
      </c>
      <c r="G54" s="6" t="s">
        <v>293</v>
      </c>
      <c r="H54" s="6" t="s">
        <v>294</v>
      </c>
      <c r="I54" s="6" t="s">
        <v>295</v>
      </c>
      <c r="J54" s="6" t="s">
        <v>296</v>
      </c>
    </row>
    <row r="55" customFormat="false" ht="15" hidden="false" customHeight="false" outlineLevel="0" collapsed="false">
      <c r="A55" s="5" t="s">
        <v>353</v>
      </c>
      <c r="B55" s="20" t="n">
        <f aca="false">SUMIF($C$33:$C$40,A55,$H$33:$H$40)</f>
        <v>4.3481652</v>
      </c>
      <c r="C55" s="11" t="n">
        <f aca="false">B55/$H$41</f>
        <v>1</v>
      </c>
      <c r="D55" s="13"/>
      <c r="E55" s="15" t="str">
        <f aca="false">IF(D55="","",D55/SUM($D$55:$D$55))</f>
        <v/>
      </c>
      <c r="F55" s="15" t="n">
        <f aca="false">SUMIF($B$45:$B$50,A55,$I$45:$I$50)</f>
        <v>1.02981756534917</v>
      </c>
      <c r="G55" s="15" t="n">
        <f aca="false">-1/F55</f>
        <v>-0.971045779026829</v>
      </c>
      <c r="H55" s="15" t="str">
        <f aca="false">IF(E55="","",E55*G55)</f>
        <v/>
      </c>
      <c r="I55" s="24" t="n">
        <f aca="false">IF(E55="",C55,($B$66/ABS($B$67))*E55*ABS(G55))</f>
        <v>1</v>
      </c>
      <c r="J55" s="24" t="n">
        <f aca="false">IF(E55="",C55/ABS(G55),"")</f>
        <v>1.02981756534917</v>
      </c>
    </row>
    <row r="57" customFormat="false" ht="15" hidden="false" customHeight="false" outlineLevel="0" collapsed="false">
      <c r="A57" s="18" t="s">
        <v>297</v>
      </c>
    </row>
    <row r="58" customFormat="false" ht="15" hidden="false" customHeight="false" outlineLevel="0" collapsed="false">
      <c r="A58" s="14" t="s">
        <v>298</v>
      </c>
      <c r="B58" s="20" t="n">
        <f aca="false">$H$41</f>
        <v>4.3481652</v>
      </c>
    </row>
    <row r="59" customFormat="false" ht="15" hidden="false" customHeight="false" outlineLevel="0" collapsed="false">
      <c r="A59" s="14" t="s">
        <v>299</v>
      </c>
      <c r="B59" s="15" t="n">
        <f aca="false">-1/B68</f>
        <v>-0.971045779026829</v>
      </c>
    </row>
    <row r="60" customFormat="false" ht="15" hidden="false" customHeight="false" outlineLevel="0" collapsed="false">
      <c r="A60" s="14" t="s">
        <v>300</v>
      </c>
      <c r="B60" s="15" t="n">
        <f aca="false">SUMPRODUCT(D45:D50/ABS(F45:F50))</f>
        <v>1.02981756534917</v>
      </c>
    </row>
    <row r="61" customFormat="false" ht="15" hidden="false" customHeight="false" outlineLevel="0" collapsed="false">
      <c r="A61" s="14" t="s">
        <v>301</v>
      </c>
      <c r="B61" s="15" t="n">
        <f aca="false">SUMPRODUCT(D45:D50,F45:F50)</f>
        <v>-1.12719999690904</v>
      </c>
    </row>
    <row r="62" customFormat="false" ht="15" hidden="false" customHeight="false" outlineLevel="0" collapsed="false">
      <c r="A62" s="14" t="s">
        <v>302</v>
      </c>
      <c r="B62" s="15" t="n">
        <f aca="false">-1/B60</f>
        <v>-0.971045779026829</v>
      </c>
    </row>
    <row r="63" customFormat="false" ht="15" hidden="false" customHeight="false" outlineLevel="0" collapsed="false">
      <c r="A63" s="14" t="s">
        <v>303</v>
      </c>
      <c r="B63" s="15" t="n">
        <f aca="false">$B$7*B68/(1+$B$7*B68)</f>
        <v>0.0933666907224654</v>
      </c>
    </row>
    <row r="64" customFormat="false" ht="15" hidden="false" customHeight="false" outlineLevel="0" collapsed="false">
      <c r="A64" s="14" t="s">
        <v>304</v>
      </c>
      <c r="B64" s="15" t="n">
        <f aca="false">$B$8*B68/(1+$B$8*B68)</f>
        <v>0.418899355592556</v>
      </c>
    </row>
    <row r="65" customFormat="false" ht="15" hidden="false" customHeight="false" outlineLevel="0" collapsed="false">
      <c r="A65" s="14" t="s">
        <v>305</v>
      </c>
      <c r="B65" s="15" t="n">
        <f aca="false">SUM(M45:M50)</f>
        <v>0.418899355592556</v>
      </c>
    </row>
    <row r="66" customFormat="false" ht="15" hidden="false" customHeight="false" outlineLevel="0" collapsed="false">
      <c r="A66" s="14" t="s">
        <v>306</v>
      </c>
      <c r="B66" s="24" t="n">
        <f aca="false">SUMPRODUCT(--(E55:E55&lt;&gt;""),C55:C55)</f>
        <v>0</v>
      </c>
    </row>
    <row r="67" customFormat="false" ht="15" hidden="false" customHeight="false" outlineLevel="0" collapsed="false">
      <c r="A67" s="14" t="s">
        <v>307</v>
      </c>
      <c r="B67" s="15" t="str">
        <f aca="false">IF(B66=0,"",SUM(H55:H55))</f>
        <v/>
      </c>
    </row>
    <row r="68" customFormat="false" ht="15" hidden="false" customHeight="false" outlineLevel="0" collapsed="false">
      <c r="A68" s="14" t="s">
        <v>308</v>
      </c>
      <c r="B68" s="24" t="n">
        <f aca="false">SUM(J55:J55)+IF(B66=0,0,B66/ABS(B67))</f>
        <v>1.02981756534917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481</v>
      </c>
    </row>
    <row r="2" customFormat="false" ht="15" hidden="false" customHeight="false" outlineLevel="0" collapsed="false">
      <c r="A2" s="5" t="s">
        <v>482</v>
      </c>
    </row>
    <row r="3" customFormat="false" ht="15" hidden="false" customHeight="false" outlineLevel="0" collapsed="false">
      <c r="A3" s="5" t="s">
        <v>483</v>
      </c>
    </row>
    <row r="4" customFormat="false" ht="15" hidden="false" customHeight="false" outlineLevel="0" collapsed="false">
      <c r="A4" s="5" t="s">
        <v>484</v>
      </c>
    </row>
    <row r="5" customFormat="false" ht="15" hidden="false" customHeight="false" outlineLevel="0" collapsed="false">
      <c r="A5" s="5" t="s">
        <v>485</v>
      </c>
    </row>
    <row r="7" customFormat="false" ht="15" hidden="false" customHeight="false" outlineLevel="0" collapsed="false">
      <c r="A7" s="14" t="s">
        <v>123</v>
      </c>
      <c r="B7" s="10" t="n">
        <f aca="false">Assumptions!$C$12</f>
        <v>0.4</v>
      </c>
    </row>
    <row r="8" customFormat="false" ht="15" hidden="false" customHeight="false" outlineLevel="0" collapsed="false">
      <c r="A8" s="14" t="s">
        <v>124</v>
      </c>
      <c r="B8" s="10" t="n">
        <f aca="false">Assumptions!$D$12</f>
        <v>1.5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486</v>
      </c>
    </row>
    <row r="12" customFormat="false" ht="26.85" hidden="false" customHeight="false" outlineLevel="0" collapsed="false">
      <c r="A12" s="6" t="s">
        <v>128</v>
      </c>
      <c r="B12" s="6" t="s">
        <v>204</v>
      </c>
      <c r="C12" s="6" t="s">
        <v>132</v>
      </c>
      <c r="D12" s="6" t="s">
        <v>133</v>
      </c>
    </row>
    <row r="13" customFormat="false" ht="15" hidden="false" customHeight="false" outlineLevel="0" collapsed="false">
      <c r="A13" s="5" t="s">
        <v>315</v>
      </c>
      <c r="B13" s="28" t="n">
        <v>280</v>
      </c>
      <c r="C13" s="5" t="s">
        <v>316</v>
      </c>
      <c r="D13" s="5" t="s">
        <v>487</v>
      </c>
    </row>
    <row r="14" customFormat="false" ht="15" hidden="false" customHeight="false" outlineLevel="0" collapsed="false">
      <c r="A14" s="5" t="s">
        <v>488</v>
      </c>
      <c r="B14" s="28" t="n">
        <v>215</v>
      </c>
      <c r="C14" s="5" t="s">
        <v>316</v>
      </c>
      <c r="D14" s="5" t="s">
        <v>489</v>
      </c>
    </row>
    <row r="15" customFormat="false" ht="15" hidden="false" customHeight="false" outlineLevel="0" collapsed="false">
      <c r="A15" s="5" t="s">
        <v>329</v>
      </c>
      <c r="B15" s="21" t="n">
        <v>0.2517</v>
      </c>
      <c r="C15" s="5" t="s">
        <v>135</v>
      </c>
      <c r="D15" s="5" t="s">
        <v>490</v>
      </c>
    </row>
    <row r="16" customFormat="false" ht="15" hidden="false" customHeight="false" outlineLevel="0" collapsed="false">
      <c r="A16" s="5" t="s">
        <v>491</v>
      </c>
      <c r="B16" s="21" t="n">
        <v>0.879</v>
      </c>
      <c r="C16" s="5" t="s">
        <v>167</v>
      </c>
      <c r="D16" s="5" t="s">
        <v>492</v>
      </c>
    </row>
    <row r="17" customFormat="false" ht="15" hidden="false" customHeight="false" outlineLevel="0" collapsed="false">
      <c r="A17" s="5" t="s">
        <v>493</v>
      </c>
      <c r="B17" s="21" t="n">
        <v>0.1016</v>
      </c>
      <c r="C17" s="5" t="s">
        <v>135</v>
      </c>
      <c r="D17" s="5" t="s">
        <v>325</v>
      </c>
    </row>
    <row r="18" customFormat="false" ht="15" hidden="false" customHeight="false" outlineLevel="0" collapsed="false">
      <c r="A18" s="5" t="s">
        <v>494</v>
      </c>
      <c r="B18" s="21" t="n">
        <v>1.115</v>
      </c>
      <c r="C18" s="5" t="s">
        <v>167</v>
      </c>
      <c r="D18" s="5" t="s">
        <v>325</v>
      </c>
    </row>
    <row r="19" customFormat="false" ht="15" hidden="false" customHeight="false" outlineLevel="0" collapsed="false">
      <c r="A19" s="5" t="s">
        <v>495</v>
      </c>
      <c r="B19" s="21" t="n">
        <v>0.0481</v>
      </c>
      <c r="C19" s="5" t="s">
        <v>135</v>
      </c>
      <c r="D19" s="5" t="s">
        <v>325</v>
      </c>
    </row>
    <row r="20" customFormat="false" ht="15" hidden="false" customHeight="false" outlineLevel="0" collapsed="false">
      <c r="A20" s="5" t="s">
        <v>496</v>
      </c>
      <c r="B20" s="21" t="n">
        <v>1.592</v>
      </c>
      <c r="C20" s="5" t="s">
        <v>167</v>
      </c>
      <c r="D20" s="5" t="s">
        <v>325</v>
      </c>
    </row>
    <row r="21" customFormat="false" ht="15" hidden="false" customHeight="false" outlineLevel="0" collapsed="false">
      <c r="A21" s="5" t="s">
        <v>497</v>
      </c>
      <c r="B21" s="21" t="n">
        <v>0.2459</v>
      </c>
      <c r="C21" s="5" t="s">
        <v>135</v>
      </c>
      <c r="D21" s="5" t="s">
        <v>325</v>
      </c>
    </row>
    <row r="22" customFormat="false" ht="15" hidden="false" customHeight="false" outlineLevel="0" collapsed="false">
      <c r="A22" s="5" t="s">
        <v>498</v>
      </c>
      <c r="B22" s="21" t="n">
        <v>0.869</v>
      </c>
      <c r="C22" s="5" t="s">
        <v>167</v>
      </c>
      <c r="D22" s="5" t="s">
        <v>325</v>
      </c>
    </row>
    <row r="23" customFormat="false" ht="15" hidden="false" customHeight="false" outlineLevel="0" collapsed="false">
      <c r="A23" s="5" t="s">
        <v>499</v>
      </c>
      <c r="B23" s="21" t="n">
        <v>0.1628</v>
      </c>
      <c r="C23" s="5" t="s">
        <v>135</v>
      </c>
      <c r="D23" s="5" t="s">
        <v>325</v>
      </c>
    </row>
    <row r="24" customFormat="false" ht="15" hidden="false" customHeight="false" outlineLevel="0" collapsed="false">
      <c r="A24" s="5" t="s">
        <v>500</v>
      </c>
      <c r="B24" s="21" t="n">
        <v>0.968</v>
      </c>
      <c r="C24" s="5" t="s">
        <v>167</v>
      </c>
      <c r="D24" s="5" t="s">
        <v>325</v>
      </c>
    </row>
    <row r="25" customFormat="false" ht="15" hidden="false" customHeight="false" outlineLevel="0" collapsed="false">
      <c r="A25" s="5" t="s">
        <v>501</v>
      </c>
      <c r="B25" s="21" t="n">
        <v>0.1451</v>
      </c>
      <c r="C25" s="5" t="s">
        <v>135</v>
      </c>
      <c r="D25" s="5" t="s">
        <v>502</v>
      </c>
    </row>
    <row r="26" customFormat="false" ht="15" hidden="false" customHeight="false" outlineLevel="0" collapsed="false">
      <c r="A26" s="5" t="s">
        <v>503</v>
      </c>
      <c r="B26" s="21" t="n">
        <v>0.66</v>
      </c>
      <c r="C26" s="5" t="s">
        <v>167</v>
      </c>
      <c r="D26" s="5" t="s">
        <v>504</v>
      </c>
    </row>
    <row r="27" customFormat="false" ht="15" hidden="false" customHeight="false" outlineLevel="0" collapsed="false">
      <c r="A27" s="5" t="s">
        <v>505</v>
      </c>
      <c r="B27" s="21" t="n">
        <v>0.023</v>
      </c>
      <c r="C27" s="5" t="s">
        <v>135</v>
      </c>
      <c r="D27" s="5" t="s">
        <v>325</v>
      </c>
    </row>
    <row r="28" customFormat="false" ht="15" hidden="false" customHeight="false" outlineLevel="0" collapsed="false">
      <c r="A28" s="5" t="s">
        <v>506</v>
      </c>
      <c r="B28" s="21" t="n">
        <v>0.5</v>
      </c>
      <c r="C28" s="5" t="s">
        <v>167</v>
      </c>
      <c r="D28" s="5" t="s">
        <v>186</v>
      </c>
    </row>
    <row r="29" customFormat="false" ht="15" hidden="false" customHeight="false" outlineLevel="0" collapsed="false">
      <c r="A29" s="5" t="s">
        <v>507</v>
      </c>
      <c r="B29" s="21" t="n">
        <v>5.12</v>
      </c>
      <c r="C29" s="5" t="s">
        <v>345</v>
      </c>
      <c r="D29" s="5" t="s">
        <v>508</v>
      </c>
    </row>
    <row r="31" customFormat="false" ht="15" hidden="false" customHeight="false" outlineLevel="0" collapsed="false">
      <c r="A31" s="18" t="s">
        <v>196</v>
      </c>
    </row>
    <row r="32" customFormat="false" ht="72" hidden="false" customHeight="true" outlineLevel="0" collapsed="false">
      <c r="A32" s="6" t="s">
        <v>197</v>
      </c>
      <c r="B32" s="6" t="s">
        <v>198</v>
      </c>
      <c r="C32" s="6" t="s">
        <v>199</v>
      </c>
      <c r="D32" s="6" t="s">
        <v>200</v>
      </c>
      <c r="E32" s="6" t="s">
        <v>201</v>
      </c>
      <c r="F32" s="6" t="s">
        <v>202</v>
      </c>
      <c r="G32" s="6" t="s">
        <v>203</v>
      </c>
      <c r="H32" s="6" t="s">
        <v>204</v>
      </c>
      <c r="I32" s="6" t="s">
        <v>27</v>
      </c>
      <c r="J32" s="6" t="s">
        <v>205</v>
      </c>
      <c r="K32" s="6" t="s">
        <v>206</v>
      </c>
      <c r="L32" s="6" t="s">
        <v>29</v>
      </c>
      <c r="M32" s="6" t="s">
        <v>30</v>
      </c>
      <c r="N32" s="6" t="s">
        <v>207</v>
      </c>
      <c r="O32" s="6" t="s">
        <v>208</v>
      </c>
      <c r="P32" s="6" t="s">
        <v>209</v>
      </c>
      <c r="Q32" s="6" t="s">
        <v>210</v>
      </c>
      <c r="R32" s="6" t="s">
        <v>211</v>
      </c>
      <c r="S32" s="6" t="s">
        <v>212</v>
      </c>
      <c r="T32" s="6" t="s">
        <v>213</v>
      </c>
      <c r="U32" s="6" t="s">
        <v>214</v>
      </c>
      <c r="V32" s="6" t="s">
        <v>215</v>
      </c>
      <c r="W32" s="6" t="s">
        <v>133</v>
      </c>
    </row>
    <row r="33" customFormat="false" ht="15" hidden="false" customHeight="false" outlineLevel="0" collapsed="false">
      <c r="A33" s="2" t="s">
        <v>509</v>
      </c>
      <c r="B33" s="5" t="s">
        <v>510</v>
      </c>
      <c r="C33" s="5" t="s">
        <v>353</v>
      </c>
      <c r="D33" s="20" t="n">
        <f aca="false">$B$14*$B$15</f>
        <v>54.1155</v>
      </c>
      <c r="E33" s="5"/>
      <c r="F33" s="22" t="n">
        <f aca="false">$B$16</f>
        <v>0.879</v>
      </c>
      <c r="G33" s="5"/>
      <c r="H33" s="20" t="n">
        <f aca="false">D33*F33</f>
        <v>47.5675245</v>
      </c>
      <c r="I33" s="11" t="n">
        <f aca="false">H33/$H$41</f>
        <v>0.231348184467879</v>
      </c>
      <c r="J33" s="23" t="n">
        <v>0.21</v>
      </c>
      <c r="K33" s="15" t="n">
        <f aca="false">IF(SUMIF($B$33:$B$40,B33,$H$33:$H$40)=0,0,H33/SUMIF($B$33:$B$40,B33,$H$33:$H$40))</f>
        <v>0.538171774261226</v>
      </c>
      <c r="L33" s="24" t="n">
        <f aca="false">K33*INDEX($L$45:$L$49,MATCH(B33,$A$45:$A$49,0))</f>
        <v>0.0714493403182764</v>
      </c>
      <c r="M33" s="24" t="n">
        <f aca="false">K33*INDEX($M$45:$M$49,MATCH(B33,$A$45:$A$49,0))</f>
        <v>0.145691391843179</v>
      </c>
      <c r="N33" s="24" t="n">
        <f aca="false">K33*INDEX($N$45:$N$49,MATCH(B33,$A$45:$A$49,0))</f>
        <v>0.23417393637352</v>
      </c>
      <c r="O33" s="24" t="n">
        <f aca="false">K33*INDEX($O$45:$O$49,MATCH(B33,$A$45:$A$49,0))</f>
        <v>0.145691391843179</v>
      </c>
      <c r="P33" s="24" t="n">
        <f aca="false">K33*INDEX($P$45:$P$49,MATCH(B33,$A$45:$A$49,0))</f>
        <v>0.138209344472409</v>
      </c>
      <c r="Q33" s="11" t="n">
        <f aca="false">INDEX($Q$45:$Q$49,MATCH(B33,$A$45:$A$49,0))*K33*$B$9</f>
        <v>-0.043608931379783</v>
      </c>
      <c r="R33" s="25" t="n">
        <f aca="false">INDEX($R$45:$R$49,MATCH(B33,$A$45:$A$49,0))*K33*$B$9</f>
        <v>-0.00971275945621195</v>
      </c>
      <c r="S33" s="11" t="str">
        <f aca="false">IF(INDEX($S$45:$S$49,MATCH(B33,$A$45:$A$49,0))="","no external floor",INDEX($S$45:$S$49,MATCH(B33,$A$45:$A$49,0))/K33)</f>
        <v>no external floor</v>
      </c>
      <c r="T33" s="25" t="n">
        <f aca="false">INDEX($M$45:$M$49,MATCH(B33,$A$45:$A$49,0))*IF(INDEX($S$45:$S$49,MATCH(B33,$A$45:$A$49,0))="",-K33,MAX(-K33,INDEX($S$45:$S$49,MATCH(B33,$A$45:$A$49,0))))</f>
        <v>-0.145691391843179</v>
      </c>
      <c r="U33" s="22" t="n">
        <f aca="false">IF(D33=0,"",M33/D33*280)</f>
        <v>0.753824499747581</v>
      </c>
      <c r="V33" s="22" t="n">
        <f aca="false">IF(OR(J33="",J33=0),"",U33/J33)</f>
        <v>3.58964047498848</v>
      </c>
      <c r="W33" s="2" t="s">
        <v>325</v>
      </c>
    </row>
    <row r="34" customFormat="false" ht="15" hidden="false" customHeight="false" outlineLevel="0" collapsed="false">
      <c r="A34" s="2" t="s">
        <v>511</v>
      </c>
      <c r="B34" s="5" t="s">
        <v>510</v>
      </c>
      <c r="C34" s="5" t="s">
        <v>353</v>
      </c>
      <c r="D34" s="20" t="n">
        <f aca="false">$B$14*$B$17</f>
        <v>21.844</v>
      </c>
      <c r="E34" s="5"/>
      <c r="F34" s="22" t="n">
        <f aca="false">$B$18</f>
        <v>1.115</v>
      </c>
      <c r="G34" s="5"/>
      <c r="H34" s="20" t="n">
        <f aca="false">D34*F34</f>
        <v>24.35606</v>
      </c>
      <c r="I34" s="11" t="n">
        <f aca="false">H34/$H$41</f>
        <v>0.118457504800165</v>
      </c>
      <c r="J34" s="23" t="n">
        <v>0.18</v>
      </c>
      <c r="K34" s="15" t="n">
        <f aca="false">IF(SUMIF($B$33:$B$40,B34,$H$33:$H$40)=0,0,H34/SUMIF($B$33:$B$40,B34,$H$33:$H$40))</f>
        <v>0.27556077727385</v>
      </c>
      <c r="L34" s="24" t="n">
        <f aca="false">K34*INDEX($L$45:$L$49,MATCH(B34,$A$45:$A$49,0))</f>
        <v>0.0365842964931328</v>
      </c>
      <c r="M34" s="24" t="n">
        <f aca="false">K34*INDEX($M$45:$M$49,MATCH(B34,$A$45:$A$49,0))</f>
        <v>0.0745985484532832</v>
      </c>
      <c r="N34" s="24" t="n">
        <f aca="false">K34*INDEX($N$45:$N$49,MATCH(B34,$A$45:$A$49,0))</f>
        <v>0.119904378138274</v>
      </c>
      <c r="O34" s="24" t="n">
        <f aca="false">K34*INDEX($O$45:$O$49,MATCH(B34,$A$45:$A$49,0))</f>
        <v>0.0745985484532832</v>
      </c>
      <c r="P34" s="24" t="n">
        <f aca="false">K34*INDEX($P$45:$P$49,MATCH(B34,$A$45:$A$49,0))</f>
        <v>0.0707675062327587</v>
      </c>
      <c r="Q34" s="11" t="n">
        <f aca="false">INDEX($Q$45:$Q$49,MATCH(B34,$A$45:$A$49,0))*K34*$B$9</f>
        <v>-0.0223291365356185</v>
      </c>
      <c r="R34" s="25" t="n">
        <f aca="false">INDEX($R$45:$R$49,MATCH(B34,$A$45:$A$49,0))*K34*$B$9</f>
        <v>-0.00497323656355221</v>
      </c>
      <c r="S34" s="11" t="str">
        <f aca="false">IF(INDEX($S$45:$S$49,MATCH(B34,$A$45:$A$49,0))="","no external floor",INDEX($S$45:$S$49,MATCH(B34,$A$45:$A$49,0))/K34)</f>
        <v>no external floor</v>
      </c>
      <c r="T34" s="25" t="n">
        <f aca="false">INDEX($M$45:$M$49,MATCH(B34,$A$45:$A$49,0))*IF(INDEX($S$45:$S$49,MATCH(B34,$A$45:$A$49,0))="",-K34,MAX(-K34,INDEX($S$45:$S$49,MATCH(B34,$A$45:$A$49,0))))</f>
        <v>-0.0745985484532832</v>
      </c>
      <c r="U34" s="22" t="n">
        <f aca="false">IF(D34=0,"",M34/D34*280)</f>
        <v>0.956216515606999</v>
      </c>
      <c r="V34" s="22" t="n">
        <f aca="false">IF(OR(J34="",J34=0),"",U34/J34)</f>
        <v>5.31231397559444</v>
      </c>
      <c r="W34" s="2" t="s">
        <v>325</v>
      </c>
    </row>
    <row r="35" customFormat="false" ht="15" hidden="false" customHeight="false" outlineLevel="0" collapsed="false">
      <c r="A35" s="2" t="s">
        <v>512</v>
      </c>
      <c r="B35" s="5" t="s">
        <v>510</v>
      </c>
      <c r="C35" s="5" t="s">
        <v>353</v>
      </c>
      <c r="D35" s="20" t="n">
        <f aca="false">$B$14*$B$19</f>
        <v>10.3415</v>
      </c>
      <c r="E35" s="5"/>
      <c r="F35" s="22" t="n">
        <f aca="false">$B$20</f>
        <v>1.592</v>
      </c>
      <c r="G35" s="5"/>
      <c r="H35" s="20" t="n">
        <f aca="false">D35*F35</f>
        <v>16.463668</v>
      </c>
      <c r="I35" s="11" t="n">
        <f aca="false">H35/$H$41</f>
        <v>0.0800722707670423</v>
      </c>
      <c r="J35" s="23" t="n">
        <v>0.16</v>
      </c>
      <c r="K35" s="15" t="n">
        <f aca="false">IF(SUMIF($B$33:$B$40,B35,$H$33:$H$40)=0,0,H35/SUMIF($B$33:$B$40,B35,$H$33:$H$40))</f>
        <v>0.186267448464924</v>
      </c>
      <c r="L35" s="24" t="n">
        <f aca="false">K35*INDEX($L$45:$L$49,MATCH(B35,$A$45:$A$49,0))</f>
        <v>0.0247294394691302</v>
      </c>
      <c r="M35" s="24" t="n">
        <f aca="false">K35*INDEX($M$45:$M$49,MATCH(B35,$A$45:$A$49,0))</f>
        <v>0.0504254684467343</v>
      </c>
      <c r="N35" s="24" t="n">
        <f aca="false">K35*INDEX($N$45:$N$49,MATCH(B35,$A$45:$A$49,0))</f>
        <v>0.0810502960419299</v>
      </c>
      <c r="O35" s="24" t="n">
        <f aca="false">K35*INDEX($O$45:$O$49,MATCH(B35,$A$45:$A$49,0))</f>
        <v>0.0504254684467343</v>
      </c>
      <c r="P35" s="24" t="n">
        <f aca="false">K35*INDEX($P$45:$P$49,MATCH(B35,$A$45:$A$49,0))</f>
        <v>0.0478358456911368</v>
      </c>
      <c r="Q35" s="11" t="n">
        <f aca="false">INDEX($Q$45:$Q$49,MATCH(B35,$A$45:$A$49,0))*K35*$B$9</f>
        <v>-0.0150935533353544</v>
      </c>
      <c r="R35" s="25" t="n">
        <f aca="false">INDEX($R$45:$R$49,MATCH(B35,$A$45:$A$49,0))*K35*$B$9</f>
        <v>-0.00336169789644896</v>
      </c>
      <c r="S35" s="11" t="str">
        <f aca="false">IF(INDEX($S$45:$S$49,MATCH(B35,$A$45:$A$49,0))="","no external floor",INDEX($S$45:$S$49,MATCH(B35,$A$45:$A$49,0))/K35)</f>
        <v>no external floor</v>
      </c>
      <c r="T35" s="25" t="n">
        <f aca="false">INDEX($M$45:$M$49,MATCH(B35,$A$45:$A$49,0))*IF(INDEX($S$45:$S$49,MATCH(B35,$A$45:$A$49,0))="",-K35,MAX(-K35,INDEX($S$45:$S$49,MATCH(B35,$A$45:$A$49,0))))</f>
        <v>-0.0504254684467343</v>
      </c>
      <c r="U35" s="22" t="n">
        <f aca="false">IF(D35=0,"",M35/D35*280)</f>
        <v>1.36528851376354</v>
      </c>
      <c r="V35" s="22" t="n">
        <f aca="false">IF(OR(J35="",J35=0),"",U35/J35)</f>
        <v>8.5330532110221</v>
      </c>
      <c r="W35" s="2" t="s">
        <v>325</v>
      </c>
    </row>
    <row r="36" customFormat="false" ht="15" hidden="false" customHeight="false" outlineLevel="0" collapsed="false">
      <c r="A36" s="2" t="s">
        <v>513</v>
      </c>
      <c r="B36" s="5" t="s">
        <v>514</v>
      </c>
      <c r="C36" s="5" t="s">
        <v>353</v>
      </c>
      <c r="D36" s="20" t="n">
        <f aca="false">$B$14*$B$21</f>
        <v>52.8685</v>
      </c>
      <c r="E36" s="5"/>
      <c r="F36" s="22" t="n">
        <f aca="false">$B$22</f>
        <v>0.869</v>
      </c>
      <c r="G36" s="5"/>
      <c r="H36" s="20" t="n">
        <f aca="false">D36*F36</f>
        <v>45.9427265</v>
      </c>
      <c r="I36" s="11" t="n">
        <f aca="false">H36/$H$41</f>
        <v>0.223445858850177</v>
      </c>
      <c r="J36" s="23" t="n">
        <v>0.2</v>
      </c>
      <c r="K36" s="15" t="n">
        <f aca="false">IF(SUMIF($B$33:$B$40,B36,$H$33:$H$40)=0,0,H36/SUMIF($B$33:$B$40,B36,$H$33:$H$40))</f>
        <v>1</v>
      </c>
      <c r="L36" s="24" t="n">
        <f aca="false">K36*INDEX($L$45:$L$49,MATCH(B36,$A$45:$A$49,0))</f>
        <v>0.0828105528387881</v>
      </c>
      <c r="M36" s="24" t="n">
        <f aca="false">K36*INDEX($M$45:$M$49,MATCH(B36,$A$45:$A$49,0))</f>
        <v>0.168857887961494</v>
      </c>
      <c r="N36" s="24" t="n">
        <f aca="false">K36*INDEX($N$45:$N$49,MATCH(B36,$A$45:$A$49,0))</f>
        <v>0.271410107429165</v>
      </c>
      <c r="O36" s="24" t="n">
        <f aca="false">K36*INDEX($O$45:$O$49,MATCH(B36,$A$45:$A$49,0))</f>
        <v>0.168857887961494</v>
      </c>
      <c r="P36" s="24" t="n">
        <f aca="false">K36*INDEX($P$45:$P$49,MATCH(B36,$A$45:$A$49,0))</f>
        <v>0.133488428914146</v>
      </c>
      <c r="Q36" s="11" t="n">
        <f aca="false">INDEX($Q$45:$Q$49,MATCH(B36,$A$45:$A$49,0))*K36*$B$9</f>
        <v>-0.110818948271801</v>
      </c>
      <c r="R36" s="25" t="n">
        <f aca="false">INDEX($R$45:$R$49,MATCH(B36,$A$45:$A$49,0))*K36*$B$9</f>
        <v>-0.0112571925307663</v>
      </c>
      <c r="S36" s="11" t="str">
        <f aca="false">IF(INDEX($S$45:$S$49,MATCH(B36,$A$45:$A$49,0))="","no external floor",INDEX($S$45:$S$49,MATCH(B36,$A$45:$A$49,0))/K36)</f>
        <v>no external floor</v>
      </c>
      <c r="T36" s="25" t="n">
        <f aca="false">INDEX($M$45:$M$49,MATCH(B36,$A$45:$A$49,0))*IF(INDEX($S$45:$S$49,MATCH(B36,$A$45:$A$49,0))="",-K36,MAX(-K36,INDEX($S$45:$S$49,MATCH(B36,$A$45:$A$49,0))))</f>
        <v>-0.168857887961494</v>
      </c>
      <c r="U36" s="22" t="n">
        <f aca="false">IF(D36=0,"",M36/D36*280)</f>
        <v>0.894298280246618</v>
      </c>
      <c r="V36" s="22" t="n">
        <f aca="false">IF(OR(J36="",J36=0),"",U36/J36)</f>
        <v>4.47149140123309</v>
      </c>
      <c r="W36" s="2" t="s">
        <v>325</v>
      </c>
    </row>
    <row r="37" customFormat="false" ht="15" hidden="false" customHeight="false" outlineLevel="0" collapsed="false">
      <c r="A37" s="2" t="s">
        <v>515</v>
      </c>
      <c r="B37" s="5" t="s">
        <v>516</v>
      </c>
      <c r="C37" s="5" t="s">
        <v>353</v>
      </c>
      <c r="D37" s="20" t="n">
        <f aca="false">$B$14*$B$23</f>
        <v>35.002</v>
      </c>
      <c r="E37" s="5"/>
      <c r="F37" s="22" t="n">
        <f aca="false">$B$24</f>
        <v>0.968</v>
      </c>
      <c r="G37" s="5"/>
      <c r="H37" s="20" t="n">
        <f aca="false">D37*F37</f>
        <v>33.881936</v>
      </c>
      <c r="I37" s="11" t="n">
        <f aca="false">H37/$H$41</f>
        <v>0.16478730945641</v>
      </c>
      <c r="J37" s="23" t="n">
        <v>0.12</v>
      </c>
      <c r="K37" s="15" t="n">
        <f aca="false">IF(SUMIF($B$33:$B$40,B37,$H$33:$H$40)=0,0,H37/SUMIF($B$33:$B$40,B37,$H$33:$H$40))</f>
        <v>1</v>
      </c>
      <c r="L37" s="24" t="n">
        <f aca="false">K37*INDEX($L$45:$L$49,MATCH(B37,$A$45:$A$49,0))</f>
        <v>0.0572543400465231</v>
      </c>
      <c r="M37" s="24" t="n">
        <f aca="false">K37*INDEX($M$45:$M$49,MATCH(B37,$A$45:$A$49,0))</f>
        <v>0.116746557117014</v>
      </c>
      <c r="N37" s="24" t="n">
        <f aca="false">K37*INDEX($N$45:$N$49,MATCH(B37,$A$45:$A$49,0))</f>
        <v>0.187650076591859</v>
      </c>
      <c r="O37" s="24" t="n">
        <f aca="false">K37*INDEX($O$45:$O$49,MATCH(B37,$A$45:$A$49,0))</f>
        <v>0.116746557117014</v>
      </c>
      <c r="P37" s="24" t="n">
        <f aca="false">K37*INDEX($P$45:$P$49,MATCH(B37,$A$45:$A$49,0))</f>
        <v>0.0984453198529619</v>
      </c>
      <c r="Q37" s="11" t="n">
        <f aca="false">INDEX($Q$45:$Q$49,MATCH(B37,$A$45:$A$49,0))*K37*$B$9</f>
        <v>-0.110406680360373</v>
      </c>
      <c r="R37" s="25" t="n">
        <f aca="false">INDEX($R$45:$R$49,MATCH(B37,$A$45:$A$49,0))*K37*$B$9</f>
        <v>-0.00778310380780094</v>
      </c>
      <c r="S37" s="11" t="str">
        <f aca="false">IF(INDEX($S$45:$S$49,MATCH(B37,$A$45:$A$49,0))="","no external floor",INDEX($S$45:$S$49,MATCH(B37,$A$45:$A$49,0))/K37)</f>
        <v>no external floor</v>
      </c>
      <c r="T37" s="25" t="n">
        <f aca="false">INDEX($M$45:$M$49,MATCH(B37,$A$45:$A$49,0))*IF(INDEX($S$45:$S$49,MATCH(B37,$A$45:$A$49,0))="",-K37,MAX(-K37,INDEX($S$45:$S$49,MATCH(B37,$A$45:$A$49,0))))</f>
        <v>-0.116746557117014</v>
      </c>
      <c r="U37" s="22" t="n">
        <f aca="false">IF(D37=0,"",M37/D37*280)</f>
        <v>0.933919090130962</v>
      </c>
      <c r="V37" s="22" t="n">
        <f aca="false">IF(OR(J37="",J37=0),"",U37/J37)</f>
        <v>7.78265908442468</v>
      </c>
      <c r="W37" s="2" t="s">
        <v>325</v>
      </c>
    </row>
    <row r="38" customFormat="false" ht="15" hidden="false" customHeight="false" outlineLevel="0" collapsed="false">
      <c r="A38" s="2" t="s">
        <v>517</v>
      </c>
      <c r="B38" s="5" t="s">
        <v>518</v>
      </c>
      <c r="C38" s="5" t="s">
        <v>353</v>
      </c>
      <c r="D38" s="20" t="n">
        <f aca="false">$B$14*$B$25</f>
        <v>31.1965</v>
      </c>
      <c r="E38" s="5"/>
      <c r="F38" s="22" t="n">
        <f aca="false">$B$26</f>
        <v>0.66</v>
      </c>
      <c r="G38" s="5"/>
      <c r="H38" s="20" t="n">
        <f aca="false">D38*F38</f>
        <v>20.58969</v>
      </c>
      <c r="I38" s="11" t="n">
        <f aca="false">H38/$H$41</f>
        <v>0.100139484875999</v>
      </c>
      <c r="J38" s="23" t="n">
        <v>0.15</v>
      </c>
      <c r="K38" s="15" t="n">
        <f aca="false">IF(SUMIF($B$33:$B$40,B38,$H$33:$H$40)=0,0,H38/SUMIF($B$33:$B$40,B38,$H$33:$H$40))</f>
        <v>1</v>
      </c>
      <c r="L38" s="24" t="n">
        <f aca="false">K38*INDEX($L$45:$L$49,MATCH(B38,$A$45:$A$49,0))</f>
        <v>0.023195233249806</v>
      </c>
      <c r="M38" s="24" t="n">
        <f aca="false">K38*INDEX($M$45:$M$49,MATCH(B38,$A$45:$A$49,0))</f>
        <v>0.047297089115699</v>
      </c>
      <c r="N38" s="24" t="n">
        <f aca="false">K38*INDEX($N$45:$N$49,MATCH(B38,$A$45:$A$49,0))</f>
        <v>0.0760219625683458</v>
      </c>
      <c r="O38" s="24" t="n">
        <f aca="false">K38*INDEX($O$45:$O$49,MATCH(B38,$A$45:$A$49,0))</f>
        <v>0.047297089115699</v>
      </c>
      <c r="P38" s="24" t="n">
        <f aca="false">K38*INDEX($P$45:$P$49,MATCH(B38,$A$45:$A$49,0))</f>
        <v>0.0598241675954801</v>
      </c>
      <c r="Q38" s="11" t="n">
        <f aca="false">INDEX($Q$45:$Q$49,MATCH(B38,$A$45:$A$49,0))*K38*$B$9</f>
        <v>-0.0793919092403584</v>
      </c>
      <c r="R38" s="25" t="n">
        <f aca="false">INDEX($R$45:$R$49,MATCH(B38,$A$45:$A$49,0))*K38*$B$9</f>
        <v>-0.00315313927437993</v>
      </c>
      <c r="S38" s="11" t="n">
        <f aca="false">IF(INDEX($S$45:$S$49,MATCH(B38,$A$45:$A$49,0))="","no external floor",INDEX($S$45:$S$49,MATCH(B38,$A$45:$A$49,0))/K38)</f>
        <v>-0.780519759982492</v>
      </c>
      <c r="T38" s="25" t="n">
        <f aca="false">INDEX($M$45:$M$49,MATCH(B38,$A$45:$A$49,0))*IF(INDEX($S$45:$S$49,MATCH(B38,$A$45:$A$49,0))="",-K38,MAX(-K38,INDEX($S$45:$S$49,MATCH(B38,$A$45:$A$49,0))))</f>
        <v>-0.0369163126444559</v>
      </c>
      <c r="U38" s="22" t="n">
        <f aca="false">IF(D38=0,"",M38/D38*280)</f>
        <v>0.424508677332255</v>
      </c>
      <c r="V38" s="22" t="n">
        <f aca="false">IF(OR(J38="",J38=0),"",U38/J38)</f>
        <v>2.8300578488817</v>
      </c>
      <c r="W38" s="2" t="s">
        <v>519</v>
      </c>
    </row>
    <row r="39" customFormat="false" ht="15" hidden="false" customHeight="false" outlineLevel="0" collapsed="false">
      <c r="A39" s="2" t="s">
        <v>520</v>
      </c>
      <c r="B39" s="5" t="s">
        <v>521</v>
      </c>
      <c r="C39" s="5" t="s">
        <v>353</v>
      </c>
      <c r="D39" s="20" t="n">
        <f aca="false">$B$14*$B$27</f>
        <v>4.945</v>
      </c>
      <c r="E39" s="5"/>
      <c r="F39" s="22" t="n">
        <f aca="false">$B$28</f>
        <v>0.5</v>
      </c>
      <c r="G39" s="5"/>
      <c r="H39" s="20" t="n">
        <f aca="false">D39*F39</f>
        <v>2.4725</v>
      </c>
      <c r="I39" s="11" t="n">
        <f aca="false">H39/$H$41</f>
        <v>0.0120251871862037</v>
      </c>
      <c r="J39" s="23"/>
      <c r="K39" s="15" t="n">
        <f aca="false">IF(SUMIF($B$33:$B$40,B39,$H$33:$H$40)=0,0,H39/SUMIF($B$33:$B$40,B39,$H$33:$H$40))</f>
        <v>0.147098194365946</v>
      </c>
      <c r="L39" s="24" t="n">
        <f aca="false">K39*INDEX($L$45:$L$49,MATCH(B39,$A$45:$A$49,0))</f>
        <v>0.00133698481234393</v>
      </c>
      <c r="M39" s="24" t="n">
        <f aca="false">K39*INDEX($M$45:$M$49,MATCH(B39,$A$45:$A$49,0))</f>
        <v>0.00272622780442598</v>
      </c>
      <c r="N39" s="24" t="n">
        <f aca="false">K39*INDEX($N$45:$N$49,MATCH(B39,$A$45:$A$49,0))</f>
        <v>0.0043819438357796</v>
      </c>
      <c r="O39" s="24" t="n">
        <f aca="false">K39*INDEX($O$45:$O$49,MATCH(B39,$A$45:$A$49,0))</f>
        <v>0.00272622780442598</v>
      </c>
      <c r="P39" s="24" t="n">
        <f aca="false">K39*INDEX($P$45:$P$49,MATCH(B39,$A$45:$A$49,0))</f>
        <v>0.00718394761552139</v>
      </c>
      <c r="Q39" s="11" t="n">
        <f aca="false">INDEX($Q$45:$Q$49,MATCH(B39,$A$45:$A$49,0))*K39*$B$9</f>
        <v>-0.00577487866246079</v>
      </c>
      <c r="R39" s="25" t="n">
        <f aca="false">INDEX($R$45:$R$49,MATCH(B39,$A$45:$A$49,0))*K39*$B$9</f>
        <v>-0.000181748520295065</v>
      </c>
      <c r="S39" s="11" t="n">
        <f aca="false">IF(INDEX($S$45:$S$49,MATCH(B39,$A$45:$A$49,0))="","no external floor",INDEX($S$45:$S$49,MATCH(B39,$A$45:$A$49,0))/K39)</f>
        <v>-6.13937552749034</v>
      </c>
      <c r="T39" s="25" t="n">
        <f aca="false">INDEX($M$45:$M$49,MATCH(B39,$A$45:$A$49,0))*IF(INDEX($S$45:$S$49,MATCH(B39,$A$45:$A$49,0))="",-K39,MAX(-K39,INDEX($S$45:$S$49,MATCH(B39,$A$45:$A$49,0))))</f>
        <v>-0.00272622780442598</v>
      </c>
      <c r="U39" s="22" t="n">
        <f aca="false">IF(D39=0,"",M39/D39*280)</f>
        <v>0.154366791757184</v>
      </c>
      <c r="V39" s="22" t="str">
        <f aca="false">IF(OR(J39="",J39=0),"",U39/J39)</f>
        <v/>
      </c>
      <c r="W39" s="2" t="s">
        <v>186</v>
      </c>
    </row>
    <row r="40" customFormat="false" ht="15" hidden="false" customHeight="false" outlineLevel="0" collapsed="false">
      <c r="A40" s="2" t="s">
        <v>522</v>
      </c>
      <c r="B40" s="5" t="s">
        <v>521</v>
      </c>
      <c r="C40" s="5" t="s">
        <v>353</v>
      </c>
      <c r="D40" s="20" t="n">
        <f aca="false">1</f>
        <v>1</v>
      </c>
      <c r="E40" s="5"/>
      <c r="F40" s="22" t="n">
        <f aca="false">$B$29*$B$13/100</f>
        <v>14.336</v>
      </c>
      <c r="G40" s="5"/>
      <c r="H40" s="20" t="n">
        <f aca="false">D40*F40</f>
        <v>14.336</v>
      </c>
      <c r="I40" s="11" t="n">
        <f aca="false">H40/$H$41</f>
        <v>0.0697241995961239</v>
      </c>
      <c r="J40" s="23"/>
      <c r="K40" s="15" t="n">
        <f aca="false">IF(SUMIF($B$33:$B$40,B40,$H$33:$H$40)=0,0,H40/SUMIF($B$33:$B$40,B40,$H$33:$H$40))</f>
        <v>0.852901805634054</v>
      </c>
      <c r="L40" s="24" t="n">
        <f aca="false">K40*INDEX($L$45:$L$49,MATCH(B40,$A$45:$A$49,0))</f>
        <v>0.00775207857219923</v>
      </c>
      <c r="M40" s="24" t="n">
        <f aca="false">K40*INDEX($M$45:$M$49,MATCH(B40,$A$45:$A$49,0))</f>
        <v>0.0158071594759356</v>
      </c>
      <c r="N40" s="24" t="n">
        <f aca="false">K40*INDEX($N$45:$N$49,MATCH(B40,$A$45:$A$49,0))</f>
        <v>0.0254072990211269</v>
      </c>
      <c r="O40" s="24" t="n">
        <f aca="false">K40*INDEX($O$45:$O$49,MATCH(B40,$A$45:$A$49,0))</f>
        <v>0.0158071594759356</v>
      </c>
      <c r="P40" s="24" t="n">
        <f aca="false">K40*INDEX($P$45:$P$49,MATCH(B40,$A$45:$A$49,0))</f>
        <v>0.0416538212400868</v>
      </c>
      <c r="Q40" s="11" t="n">
        <f aca="false">INDEX($Q$45:$Q$49,MATCH(B40,$A$45:$A$49,0))*K40*$B$9</f>
        <v>-0.0334837858463247</v>
      </c>
      <c r="R40" s="25" t="n">
        <f aca="false">INDEX($R$45:$R$49,MATCH(B40,$A$45:$A$49,0))*K40*$B$9</f>
        <v>-0.00105381063172904</v>
      </c>
      <c r="S40" s="11" t="n">
        <f aca="false">IF(INDEX($S$45:$S$49,MATCH(B40,$A$45:$A$49,0))="","no external floor",INDEX($S$45:$S$49,MATCH(B40,$A$45:$A$49,0))/K40)</f>
        <v>-1.05884528402064</v>
      </c>
      <c r="T40" s="25" t="n">
        <f aca="false">INDEX($M$45:$M$49,MATCH(B40,$A$45:$A$49,0))*IF(INDEX($S$45:$S$49,MATCH(B40,$A$45:$A$49,0))="",-K40,MAX(-K40,INDEX($S$45:$S$49,MATCH(B40,$A$45:$A$49,0))))</f>
        <v>-0.0158071594759356</v>
      </c>
      <c r="U40" s="22" t="n">
        <f aca="false">IF(D40=0,"",M40/D40*280)</f>
        <v>4.42600465326197</v>
      </c>
      <c r="V40" s="22" t="str">
        <f aca="false">IF(OR(J40="",J40=0),"",U40/J40)</f>
        <v/>
      </c>
      <c r="W40" s="2" t="s">
        <v>523</v>
      </c>
    </row>
    <row r="41" customFormat="false" ht="15" hidden="false" customHeight="false" outlineLevel="0" collapsed="false">
      <c r="A41" s="14" t="s">
        <v>252</v>
      </c>
      <c r="H41" s="26" t="n">
        <f aca="false">SUM(H33:H40)</f>
        <v>205.610105</v>
      </c>
      <c r="I41" s="27" t="n">
        <f aca="false">SUM(I33:I40)</f>
        <v>1</v>
      </c>
    </row>
    <row r="42" customFormat="false" ht="15" hidden="false" customHeight="false" outlineLevel="0" collapsed="false">
      <c r="A42" s="5" t="s">
        <v>524</v>
      </c>
    </row>
    <row r="44" customFormat="false" ht="72" hidden="false" customHeight="true" outlineLevel="0" collapsed="false">
      <c r="A44" s="6" t="s">
        <v>254</v>
      </c>
      <c r="B44" s="6" t="s">
        <v>255</v>
      </c>
      <c r="C44" s="6" t="s">
        <v>256</v>
      </c>
      <c r="D44" s="6" t="s">
        <v>27</v>
      </c>
      <c r="E44" s="6" t="s">
        <v>257</v>
      </c>
      <c r="F44" s="6" t="s">
        <v>258</v>
      </c>
      <c r="G44" s="6" t="s">
        <v>259</v>
      </c>
      <c r="H44" s="6" t="s">
        <v>260</v>
      </c>
      <c r="I44" s="6" t="s">
        <v>261</v>
      </c>
      <c r="J44" s="6" t="s">
        <v>262</v>
      </c>
      <c r="K44" s="6" t="s">
        <v>263</v>
      </c>
      <c r="L44" s="6" t="s">
        <v>264</v>
      </c>
      <c r="M44" s="6" t="s">
        <v>265</v>
      </c>
      <c r="N44" s="6" t="s">
        <v>266</v>
      </c>
      <c r="O44" s="6" t="s">
        <v>267</v>
      </c>
      <c r="P44" s="6" t="s">
        <v>268</v>
      </c>
      <c r="Q44" s="6" t="s">
        <v>269</v>
      </c>
      <c r="R44" s="6" t="s">
        <v>270</v>
      </c>
      <c r="S44" s="6" t="s">
        <v>271</v>
      </c>
      <c r="T44" s="6" t="s">
        <v>272</v>
      </c>
      <c r="U44" s="6" t="s">
        <v>273</v>
      </c>
    </row>
    <row r="45" customFormat="false" ht="68.65" hidden="false" customHeight="false" outlineLevel="0" collapsed="false">
      <c r="A45" s="5" t="s">
        <v>510</v>
      </c>
      <c r="B45" s="5" t="s">
        <v>353</v>
      </c>
      <c r="C45" s="20" t="n">
        <f aca="false">SUMIF($B$33:$B$40,A45,$H$33:$H$40)</f>
        <v>88.3872525</v>
      </c>
      <c r="D45" s="11" t="n">
        <f aca="false">C45/$H$41</f>
        <v>0.429877960035087</v>
      </c>
      <c r="E45" s="11" t="n">
        <f aca="false">C45/SUMIF($B$45:$B$49,B45,$C$45:$C$49)</f>
        <v>0.429877960035087</v>
      </c>
      <c r="F45" s="28" t="n">
        <v>-0.9</v>
      </c>
      <c r="G45" s="23"/>
      <c r="H45" s="2"/>
      <c r="I45" s="15" t="n">
        <f aca="false">E45/ABS(F45)</f>
        <v>0.477642177816763</v>
      </c>
      <c r="J45" s="15" t="n">
        <f aca="false">INDEX($G$54:$G$54,MATCH(B45,$A$54:$A$54,0))</f>
        <v>-0.910992853567994</v>
      </c>
      <c r="K45" s="24" t="n">
        <f aca="false">INDEX($I$54:$I$54,MATCH(B45,$A$54:$A$54,0))</f>
        <v>1</v>
      </c>
      <c r="L45" s="24" t="n">
        <f aca="false">$B$7*K45*I45/(1+$B$7*$B$67)</f>
        <v>0.132763076280539</v>
      </c>
      <c r="M45" s="24" t="n">
        <f aca="false">$B$8*K45*I45/(1+$B$8*$B$67)</f>
        <v>0.270715408743197</v>
      </c>
      <c r="N45" s="24" t="n">
        <f aca="false">K45*I45/$B$67</f>
        <v>0.435128610553724</v>
      </c>
      <c r="O45" s="24" t="n">
        <f aca="false">$B$8*(D45/ABS(F45))/(1+$B$8*$B$59)</f>
        <v>0.270715408743197</v>
      </c>
      <c r="P45" s="24" t="n">
        <f aca="false">$B$8*D45/($B$8+ABS($B$60))</f>
        <v>0.256812696396304</v>
      </c>
      <c r="Q45" s="24" t="n">
        <f aca="false">IF(T45="",(M45-1)/F45,((J45*((M45-T45*ABS(J45)*I45)/$B$66)+ABS(J45)*I45)-1)/F45)</f>
        <v>0.810316212507559</v>
      </c>
      <c r="R45" s="24" t="n">
        <f aca="false">M45/$B$8</f>
        <v>0.180476939162131</v>
      </c>
      <c r="S45" s="11" t="str">
        <f aca="false">IF(OR(G45="",G45&lt;=0,G45&gt;=1),"",EXP(LN(G45)/Q45)-1)</f>
        <v/>
      </c>
      <c r="T45" s="15" t="str">
        <f aca="false">INDEX($E$54:$E$54,MATCH(B45,$A$54:$A$54,0))</f>
        <v/>
      </c>
      <c r="U45" s="2" t="s">
        <v>525</v>
      </c>
    </row>
    <row r="46" customFormat="false" ht="35.05" hidden="false" customHeight="false" outlineLevel="0" collapsed="false">
      <c r="A46" s="5" t="s">
        <v>514</v>
      </c>
      <c r="B46" s="5" t="s">
        <v>353</v>
      </c>
      <c r="C46" s="20" t="n">
        <f aca="false">SUMIF($B$33:$B$40,A46,$H$33:$H$40)</f>
        <v>45.9427265</v>
      </c>
      <c r="D46" s="11" t="n">
        <f aca="false">C46/$H$41</f>
        <v>0.223445858850177</v>
      </c>
      <c r="E46" s="11" t="n">
        <f aca="false">C46/SUMIF($B$45:$B$49,B46,$C$45:$C$49)</f>
        <v>0.223445858850177</v>
      </c>
      <c r="F46" s="28" t="n">
        <v>-0.75</v>
      </c>
      <c r="G46" s="23"/>
      <c r="H46" s="2"/>
      <c r="I46" s="15" t="n">
        <f aca="false">E46/ABS(F46)</f>
        <v>0.297927811800236</v>
      </c>
      <c r="J46" s="15" t="n">
        <f aca="false">INDEX($G$54:$G$54,MATCH(B46,$A$54:$A$54,0))</f>
        <v>-0.910992853567994</v>
      </c>
      <c r="K46" s="24" t="n">
        <f aca="false">INDEX($I$54:$I$54,MATCH(B46,$A$54:$A$54,0))</f>
        <v>1</v>
      </c>
      <c r="L46" s="24" t="n">
        <f aca="false">$B$7*K46*I46/(1+$B$7*$B$67)</f>
        <v>0.0828105528387881</v>
      </c>
      <c r="M46" s="24" t="n">
        <f aca="false">$B$8*K46*I46/(1+$B$8*$B$67)</f>
        <v>0.168857887961494</v>
      </c>
      <c r="N46" s="24" t="n">
        <f aca="false">K46*I46/$B$67</f>
        <v>0.271410107429165</v>
      </c>
      <c r="O46" s="24" t="n">
        <f aca="false">$B$8*(D46/ABS(F46))/(1+$B$8*$B$59)</f>
        <v>0.168857887961494</v>
      </c>
      <c r="P46" s="24" t="n">
        <f aca="false">$B$8*D46/($B$8+ABS($B$60))</f>
        <v>0.133488428914146</v>
      </c>
      <c r="Q46" s="24" t="n">
        <f aca="false">IF(T46="",(M46-1)/F46,((J46*((M46-T46*ABS(J46)*I46)/$B$66)+ABS(J46)*I46)-1)/F46)</f>
        <v>1.10818948271801</v>
      </c>
      <c r="R46" s="24" t="n">
        <f aca="false">M46/$B$8</f>
        <v>0.112571925307663</v>
      </c>
      <c r="S46" s="11" t="str">
        <f aca="false">IF(OR(G46="",G46&lt;=0,G46&gt;=1),"",EXP(LN(G46)/Q46)-1)</f>
        <v/>
      </c>
      <c r="T46" s="15" t="str">
        <f aca="false">INDEX($E$54:$E$54,MATCH(B46,$A$54:$A$54,0))</f>
        <v/>
      </c>
      <c r="U46" s="2" t="s">
        <v>526</v>
      </c>
    </row>
    <row r="47" customFormat="false" ht="23.85" hidden="false" customHeight="false" outlineLevel="0" collapsed="false">
      <c r="A47" s="5" t="s">
        <v>516</v>
      </c>
      <c r="B47" s="5" t="s">
        <v>353</v>
      </c>
      <c r="C47" s="20" t="n">
        <f aca="false">SUMIF($B$33:$B$40,A47,$H$33:$H$40)</f>
        <v>33.881936</v>
      </c>
      <c r="D47" s="11" t="n">
        <f aca="false">C47/$H$41</f>
        <v>0.16478730945641</v>
      </c>
      <c r="E47" s="11" t="n">
        <f aca="false">C47/SUMIF($B$45:$B$49,B47,$C$45:$C$49)</f>
        <v>0.16478730945641</v>
      </c>
      <c r="F47" s="28" t="n">
        <v>-0.8</v>
      </c>
      <c r="G47" s="23"/>
      <c r="H47" s="2"/>
      <c r="I47" s="15" t="n">
        <f aca="false">E47/ABS(F47)</f>
        <v>0.205984136820513</v>
      </c>
      <c r="J47" s="15" t="n">
        <f aca="false">INDEX($G$54:$G$54,MATCH(B47,$A$54:$A$54,0))</f>
        <v>-0.910992853567994</v>
      </c>
      <c r="K47" s="24" t="n">
        <f aca="false">INDEX($I$54:$I$54,MATCH(B47,$A$54:$A$54,0))</f>
        <v>1</v>
      </c>
      <c r="L47" s="24" t="n">
        <f aca="false">$B$7*K47*I47/(1+$B$7*$B$67)</f>
        <v>0.0572543400465231</v>
      </c>
      <c r="M47" s="24" t="n">
        <f aca="false">$B$8*K47*I47/(1+$B$8*$B$67)</f>
        <v>0.116746557117014</v>
      </c>
      <c r="N47" s="24" t="n">
        <f aca="false">K47*I47/$B$67</f>
        <v>0.187650076591859</v>
      </c>
      <c r="O47" s="24" t="n">
        <f aca="false">$B$8*(D47/ABS(F47))/(1+$B$8*$B$59)</f>
        <v>0.116746557117014</v>
      </c>
      <c r="P47" s="24" t="n">
        <f aca="false">$B$8*D47/($B$8+ABS($B$60))</f>
        <v>0.0984453198529619</v>
      </c>
      <c r="Q47" s="24" t="n">
        <f aca="false">IF(T47="",(M47-1)/F47,((J47*((M47-T47*ABS(J47)*I47)/$B$66)+ABS(J47)*I47)-1)/F47)</f>
        <v>1.10406680360373</v>
      </c>
      <c r="R47" s="24" t="n">
        <f aca="false">M47/$B$8</f>
        <v>0.0778310380780094</v>
      </c>
      <c r="S47" s="11" t="str">
        <f aca="false">IF(OR(G47="",G47&lt;=0,G47&gt;=1),"",EXP(LN(G47)/Q47)-1)</f>
        <v/>
      </c>
      <c r="T47" s="15" t="str">
        <f aca="false">INDEX($E$54:$E$54,MATCH(B47,$A$54:$A$54,0))</f>
        <v/>
      </c>
      <c r="U47" s="2" t="s">
        <v>527</v>
      </c>
    </row>
    <row r="48" customFormat="false" ht="46.25" hidden="false" customHeight="false" outlineLevel="0" collapsed="false">
      <c r="A48" s="5" t="s">
        <v>518</v>
      </c>
      <c r="B48" s="5" t="s">
        <v>353</v>
      </c>
      <c r="C48" s="20" t="n">
        <f aca="false">SUMIF($B$33:$B$40,A48,$H$33:$H$40)</f>
        <v>20.58969</v>
      </c>
      <c r="D48" s="11" t="n">
        <f aca="false">C48/$H$41</f>
        <v>0.100139484875999</v>
      </c>
      <c r="E48" s="11" t="n">
        <f aca="false">C48/SUMIF($B$45:$B$49,B48,$C$45:$C$49)</f>
        <v>0.100139484875999</v>
      </c>
      <c r="F48" s="28" t="n">
        <v>-1.2</v>
      </c>
      <c r="G48" s="23" t="n">
        <v>0.3</v>
      </c>
      <c r="H48" s="2" t="s">
        <v>371</v>
      </c>
      <c r="I48" s="15" t="n">
        <f aca="false">E48/ABS(F48)</f>
        <v>0.0834495707299989</v>
      </c>
      <c r="J48" s="15" t="n">
        <f aca="false">INDEX($G$54:$G$54,MATCH(B48,$A$54:$A$54,0))</f>
        <v>-0.910992853567994</v>
      </c>
      <c r="K48" s="24" t="n">
        <f aca="false">INDEX($I$54:$I$54,MATCH(B48,$A$54:$A$54,0))</f>
        <v>1</v>
      </c>
      <c r="L48" s="24" t="n">
        <f aca="false">$B$7*K48*I48/(1+$B$7*$B$67)</f>
        <v>0.023195233249806</v>
      </c>
      <c r="M48" s="24" t="n">
        <f aca="false">$B$8*K48*I48/(1+$B$8*$B$67)</f>
        <v>0.047297089115699</v>
      </c>
      <c r="N48" s="24" t="n">
        <f aca="false">K48*I48/$B$67</f>
        <v>0.0760219625683458</v>
      </c>
      <c r="O48" s="24" t="n">
        <f aca="false">$B$8*(D48/ABS(F48))/(1+$B$8*$B$59)</f>
        <v>0.047297089115699</v>
      </c>
      <c r="P48" s="24" t="n">
        <f aca="false">$B$8*D48/($B$8+ABS($B$60))</f>
        <v>0.0598241675954801</v>
      </c>
      <c r="Q48" s="24" t="n">
        <f aca="false">IF(T48="",(M48-1)/F48,((J48*((M48-T48*ABS(J48)*I48)/$B$66)+ABS(J48)*I48)-1)/F48)</f>
        <v>0.793919092403584</v>
      </c>
      <c r="R48" s="24" t="n">
        <f aca="false">M48/$B$8</f>
        <v>0.0315313927437993</v>
      </c>
      <c r="S48" s="11" t="n">
        <f aca="false">IF(OR(G48="",G48&lt;=0,G48&gt;=1),"",EXP(LN(G48)/Q48)-1)</f>
        <v>-0.780519759982492</v>
      </c>
      <c r="T48" s="15" t="str">
        <f aca="false">INDEX($E$54:$E$54,MATCH(B48,$A$54:$A$54,0))</f>
        <v/>
      </c>
      <c r="U48" s="2" t="s">
        <v>528</v>
      </c>
    </row>
    <row r="49" customFormat="false" ht="15" hidden="false" customHeight="false" outlineLevel="0" collapsed="false">
      <c r="A49" s="5" t="s">
        <v>521</v>
      </c>
      <c r="B49" s="5" t="s">
        <v>353</v>
      </c>
      <c r="C49" s="20" t="n">
        <f aca="false">SUMIF($B$33:$B$40,A49,$H$33:$H$40)</f>
        <v>16.8085</v>
      </c>
      <c r="D49" s="11" t="n">
        <f aca="false">C49/$H$41</f>
        <v>0.0817493867823276</v>
      </c>
      <c r="E49" s="11" t="n">
        <f aca="false">C49/SUMIF($B$45:$B$49,B49,$C$45:$C$49)</f>
        <v>0.0817493867823277</v>
      </c>
      <c r="F49" s="28" t="n">
        <v>-2.5</v>
      </c>
      <c r="G49" s="23" t="n">
        <v>0.4</v>
      </c>
      <c r="H49" s="2" t="s">
        <v>478</v>
      </c>
      <c r="I49" s="15" t="n">
        <f aca="false">E49/ABS(F49)</f>
        <v>0.0326997547129311</v>
      </c>
      <c r="J49" s="15" t="n">
        <f aca="false">INDEX($G$54:$G$54,MATCH(B49,$A$54:$A$54,0))</f>
        <v>-0.910992853567994</v>
      </c>
      <c r="K49" s="24" t="n">
        <f aca="false">INDEX($I$54:$I$54,MATCH(B49,$A$54:$A$54,0))</f>
        <v>1</v>
      </c>
      <c r="L49" s="24" t="n">
        <f aca="false">$B$7*K49*I49/(1+$B$7*$B$67)</f>
        <v>0.00908906338454316</v>
      </c>
      <c r="M49" s="24" t="n">
        <f aca="false">$B$8*K49*I49/(1+$B$8*$B$67)</f>
        <v>0.0185333872803616</v>
      </c>
      <c r="N49" s="24" t="n">
        <f aca="false">K49*I49/$B$67</f>
        <v>0.0297892428569065</v>
      </c>
      <c r="O49" s="24" t="n">
        <f aca="false">$B$8*(D49/ABS(F49))/(1+$B$8*$B$59)</f>
        <v>0.0185333872803616</v>
      </c>
      <c r="P49" s="24" t="n">
        <f aca="false">$B$8*D49/($B$8+ABS($B$60))</f>
        <v>0.0488377688556082</v>
      </c>
      <c r="Q49" s="24" t="n">
        <f aca="false">IF(T49="",(M49-1)/F49,((J49*((M49-T49*ABS(J49)*I49)/$B$66)+ABS(J49)*I49)-1)/F49)</f>
        <v>0.392586645087855</v>
      </c>
      <c r="R49" s="24" t="n">
        <f aca="false">M49/$B$8</f>
        <v>0.0123555915202411</v>
      </c>
      <c r="S49" s="11" t="n">
        <f aca="false">IF(OR(G49="",G49&lt;=0,G49&gt;=1),"",EXP(LN(G49)/Q49)-1)</f>
        <v>-0.903091054628305</v>
      </c>
      <c r="T49" s="15" t="str">
        <f aca="false">INDEX($E$54:$E$54,MATCH(B49,$A$54:$A$54,0))</f>
        <v/>
      </c>
      <c r="U49" s="2" t="s">
        <v>186</v>
      </c>
    </row>
    <row r="53" customFormat="false" ht="72" hidden="false" customHeight="true" outlineLevel="0" collapsed="false">
      <c r="A53" s="6" t="s">
        <v>255</v>
      </c>
      <c r="B53" s="6" t="s">
        <v>288</v>
      </c>
      <c r="C53" s="6" t="s">
        <v>289</v>
      </c>
      <c r="D53" s="6" t="s">
        <v>290</v>
      </c>
      <c r="E53" s="6" t="s">
        <v>291</v>
      </c>
      <c r="F53" s="6" t="s">
        <v>292</v>
      </c>
      <c r="G53" s="6" t="s">
        <v>293</v>
      </c>
      <c r="H53" s="6" t="s">
        <v>294</v>
      </c>
      <c r="I53" s="6" t="s">
        <v>295</v>
      </c>
      <c r="J53" s="6" t="s">
        <v>296</v>
      </c>
    </row>
    <row r="54" customFormat="false" ht="15" hidden="false" customHeight="false" outlineLevel="0" collapsed="false">
      <c r="A54" s="5" t="s">
        <v>353</v>
      </c>
      <c r="B54" s="20" t="n">
        <f aca="false">SUMIF($C$33:$C$40,A54,$H$33:$H$40)</f>
        <v>205.610105</v>
      </c>
      <c r="C54" s="11" t="n">
        <f aca="false">B54/$H$41</f>
        <v>1</v>
      </c>
      <c r="D54" s="13"/>
      <c r="E54" s="15" t="str">
        <f aca="false">IF(D54="","",D54/SUM($D$54:$D$54))</f>
        <v/>
      </c>
      <c r="F54" s="15" t="n">
        <f aca="false">SUMIF($B$45:$B$49,A54,$I$45:$I$49)</f>
        <v>1.09770345188044</v>
      </c>
      <c r="G54" s="15" t="n">
        <f aca="false">-1/F54</f>
        <v>-0.910992853567994</v>
      </c>
      <c r="H54" s="15" t="str">
        <f aca="false">IF(E54="","",E54*G54)</f>
        <v/>
      </c>
      <c r="I54" s="24" t="n">
        <f aca="false">IF(E54="",C54,($B$65/ABS($B$66))*E54*ABS(G54))</f>
        <v>1</v>
      </c>
      <c r="J54" s="24" t="n">
        <f aca="false">IF(E54="",C54/ABS(G54),"")</f>
        <v>1.09770345188044</v>
      </c>
    </row>
    <row r="56" customFormat="false" ht="15" hidden="false" customHeight="false" outlineLevel="0" collapsed="false">
      <c r="A56" s="18" t="s">
        <v>297</v>
      </c>
    </row>
    <row r="57" customFormat="false" ht="15" hidden="false" customHeight="false" outlineLevel="0" collapsed="false">
      <c r="A57" s="14" t="s">
        <v>298</v>
      </c>
      <c r="B57" s="20" t="n">
        <f aca="false">$H$41</f>
        <v>205.610105</v>
      </c>
    </row>
    <row r="58" customFormat="false" ht="15" hidden="false" customHeight="false" outlineLevel="0" collapsed="false">
      <c r="A58" s="14" t="s">
        <v>299</v>
      </c>
      <c r="B58" s="15" t="n">
        <f aca="false">-1/B67</f>
        <v>-0.910992853567994</v>
      </c>
    </row>
    <row r="59" customFormat="false" ht="15" hidden="false" customHeight="false" outlineLevel="0" collapsed="false">
      <c r="A59" s="14" t="s">
        <v>300</v>
      </c>
      <c r="B59" s="15" t="n">
        <f aca="false">SUMPRODUCT(D45:D49/ABS(F45:F49))</f>
        <v>1.09770345188044</v>
      </c>
    </row>
    <row r="60" customFormat="false" ht="15" hidden="false" customHeight="false" outlineLevel="0" collapsed="false">
      <c r="A60" s="14" t="s">
        <v>301</v>
      </c>
      <c r="B60" s="15" t="n">
        <f aca="false">SUMPRODUCT(D45:D49,F45:F49)</f>
        <v>-1.01084525454136</v>
      </c>
    </row>
    <row r="61" customFormat="false" ht="15" hidden="false" customHeight="false" outlineLevel="0" collapsed="false">
      <c r="A61" s="14" t="s">
        <v>302</v>
      </c>
      <c r="B61" s="15" t="n">
        <f aca="false">-1/B59</f>
        <v>-0.910992853567994</v>
      </c>
    </row>
    <row r="62" customFormat="false" ht="15" hidden="false" customHeight="false" outlineLevel="0" collapsed="false">
      <c r="A62" s="14" t="s">
        <v>303</v>
      </c>
      <c r="B62" s="15" t="n">
        <f aca="false">$B$7*B67/(1+$B$7*B67)</f>
        <v>0.3051122658002</v>
      </c>
    </row>
    <row r="63" customFormat="false" ht="15" hidden="false" customHeight="false" outlineLevel="0" collapsed="false">
      <c r="A63" s="14" t="s">
        <v>304</v>
      </c>
      <c r="B63" s="15" t="n">
        <f aca="false">$B$8*B67/(1+$B$8*B67)</f>
        <v>0.622150330217766</v>
      </c>
    </row>
    <row r="64" customFormat="false" ht="15" hidden="false" customHeight="false" outlineLevel="0" collapsed="false">
      <c r="A64" s="14" t="s">
        <v>305</v>
      </c>
      <c r="B64" s="15" t="n">
        <f aca="false">SUM(M45:M49)</f>
        <v>0.622150330217765</v>
      </c>
    </row>
    <row r="65" customFormat="false" ht="15" hidden="false" customHeight="false" outlineLevel="0" collapsed="false">
      <c r="A65" s="14" t="s">
        <v>306</v>
      </c>
      <c r="B65" s="24" t="n">
        <f aca="false">SUMPRODUCT(--(E54:E54&lt;&gt;""),C54:C54)</f>
        <v>0</v>
      </c>
    </row>
    <row r="66" customFormat="false" ht="15" hidden="false" customHeight="false" outlineLevel="0" collapsed="false">
      <c r="A66" s="14" t="s">
        <v>307</v>
      </c>
      <c r="B66" s="15" t="str">
        <f aca="false">IF(B65=0,"",SUM(H54:H54))</f>
        <v/>
      </c>
    </row>
    <row r="67" customFormat="false" ht="15" hidden="false" customHeight="false" outlineLevel="0" collapsed="false">
      <c r="A67" s="14" t="s">
        <v>308</v>
      </c>
      <c r="B67" s="24" t="n">
        <f aca="false">SUM(J54:J54)+IF(B65=0,0,B65/ABS(B66))</f>
        <v>1.09770345188044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529</v>
      </c>
    </row>
    <row r="2" customFormat="false" ht="15" hidden="false" customHeight="false" outlineLevel="0" collapsed="false">
      <c r="A2" s="5" t="s">
        <v>530</v>
      </c>
    </row>
    <row r="3" customFormat="false" ht="15" hidden="false" customHeight="false" outlineLevel="0" collapsed="false">
      <c r="A3" s="5" t="s">
        <v>531</v>
      </c>
    </row>
    <row r="4" customFormat="false" ht="15" hidden="false" customHeight="false" outlineLevel="0" collapsed="false">
      <c r="A4" s="5" t="s">
        <v>532</v>
      </c>
    </row>
    <row r="5" customFormat="false" ht="15" hidden="false" customHeight="false" outlineLevel="0" collapsed="false">
      <c r="A5" s="5" t="s">
        <v>533</v>
      </c>
    </row>
    <row r="7" customFormat="false" ht="15" hidden="false" customHeight="false" outlineLevel="0" collapsed="false">
      <c r="A7" s="14" t="s">
        <v>123</v>
      </c>
      <c r="B7" s="10" t="n">
        <f aca="false">Assumptions!$C$13</f>
        <v>0</v>
      </c>
    </row>
    <row r="8" customFormat="false" ht="15" hidden="false" customHeight="false" outlineLevel="0" collapsed="false">
      <c r="A8" s="14" t="s">
        <v>124</v>
      </c>
      <c r="B8" s="10" t="n">
        <f aca="false">Assumptions!$D$13</f>
        <v>0.05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534</v>
      </c>
    </row>
    <row r="12" customFormat="false" ht="26.85" hidden="false" customHeight="false" outlineLevel="0" collapsed="false">
      <c r="A12" s="6" t="s">
        <v>128</v>
      </c>
      <c r="B12" s="6" t="s">
        <v>204</v>
      </c>
      <c r="C12" s="6" t="s">
        <v>132</v>
      </c>
      <c r="D12" s="6" t="s">
        <v>133</v>
      </c>
    </row>
    <row r="13" customFormat="false" ht="15" hidden="false" customHeight="false" outlineLevel="0" collapsed="false">
      <c r="A13" s="5" t="s">
        <v>535</v>
      </c>
      <c r="B13" s="28" t="n">
        <v>1430</v>
      </c>
      <c r="C13" s="5" t="s">
        <v>536</v>
      </c>
      <c r="D13" s="5" t="s">
        <v>537</v>
      </c>
    </row>
    <row r="14" customFormat="false" ht="15" hidden="false" customHeight="false" outlineLevel="0" collapsed="false">
      <c r="A14" s="5" t="s">
        <v>538</v>
      </c>
      <c r="B14" s="28" t="n">
        <v>168</v>
      </c>
      <c r="C14" s="5" t="s">
        <v>539</v>
      </c>
      <c r="D14" s="5" t="s">
        <v>540</v>
      </c>
    </row>
    <row r="15" customFormat="false" ht="15" hidden="false" customHeight="false" outlineLevel="0" collapsed="false">
      <c r="A15" s="5" t="s">
        <v>541</v>
      </c>
      <c r="B15" s="28" t="n">
        <v>4500</v>
      </c>
      <c r="C15" s="5" t="s">
        <v>542</v>
      </c>
      <c r="D15" s="5" t="s">
        <v>543</v>
      </c>
    </row>
    <row r="16" customFormat="false" ht="15" hidden="false" customHeight="false" outlineLevel="0" collapsed="false">
      <c r="A16" s="5" t="s">
        <v>544</v>
      </c>
      <c r="B16" s="21" t="n">
        <v>40</v>
      </c>
      <c r="C16" s="5" t="s">
        <v>536</v>
      </c>
      <c r="D16" s="5" t="s">
        <v>325</v>
      </c>
    </row>
    <row r="17" customFormat="false" ht="15" hidden="false" customHeight="false" outlineLevel="0" collapsed="false">
      <c r="A17" s="5" t="s">
        <v>545</v>
      </c>
      <c r="B17" s="28" t="n">
        <v>2000</v>
      </c>
      <c r="C17" s="5" t="s">
        <v>542</v>
      </c>
      <c r="D17" s="5" t="s">
        <v>194</v>
      </c>
    </row>
    <row r="18" customFormat="false" ht="15" hidden="false" customHeight="false" outlineLevel="0" collapsed="false">
      <c r="A18" s="5" t="s">
        <v>546</v>
      </c>
      <c r="B18" s="28" t="n">
        <v>170.3</v>
      </c>
      <c r="C18" s="5" t="s">
        <v>536</v>
      </c>
      <c r="D18" s="5" t="s">
        <v>325</v>
      </c>
    </row>
    <row r="19" customFormat="false" ht="15" hidden="false" customHeight="false" outlineLevel="0" collapsed="false">
      <c r="A19" s="5" t="s">
        <v>547</v>
      </c>
      <c r="B19" s="28" t="n">
        <v>2500</v>
      </c>
      <c r="C19" s="5" t="s">
        <v>542</v>
      </c>
      <c r="D19" s="5" t="s">
        <v>548</v>
      </c>
    </row>
    <row r="20" customFormat="false" ht="15" hidden="false" customHeight="false" outlineLevel="0" collapsed="false">
      <c r="A20" s="5" t="s">
        <v>549</v>
      </c>
      <c r="B20" s="21" t="n">
        <v>24.4</v>
      </c>
      <c r="C20" s="5" t="s">
        <v>536</v>
      </c>
      <c r="D20" s="5" t="s">
        <v>325</v>
      </c>
    </row>
    <row r="21" customFormat="false" ht="15" hidden="false" customHeight="false" outlineLevel="0" collapsed="false">
      <c r="A21" s="5" t="s">
        <v>550</v>
      </c>
      <c r="B21" s="28" t="n">
        <v>1500</v>
      </c>
      <c r="C21" s="5" t="s">
        <v>542</v>
      </c>
      <c r="D21" s="5" t="s">
        <v>186</v>
      </c>
    </row>
    <row r="22" customFormat="false" ht="15" hidden="false" customHeight="false" outlineLevel="0" collapsed="false">
      <c r="A22" s="5" t="s">
        <v>551</v>
      </c>
      <c r="B22" s="21" t="n">
        <v>20.8</v>
      </c>
      <c r="C22" s="5" t="s">
        <v>536</v>
      </c>
      <c r="D22" s="5" t="s">
        <v>325</v>
      </c>
    </row>
    <row r="23" customFormat="false" ht="15" hidden="false" customHeight="false" outlineLevel="0" collapsed="false">
      <c r="A23" s="5" t="s">
        <v>552</v>
      </c>
      <c r="B23" s="28" t="n">
        <v>6000</v>
      </c>
      <c r="C23" s="5" t="s">
        <v>542</v>
      </c>
      <c r="D23" s="5" t="s">
        <v>186</v>
      </c>
    </row>
    <row r="24" customFormat="false" ht="15" hidden="false" customHeight="false" outlineLevel="0" collapsed="false">
      <c r="A24" s="5" t="s">
        <v>553</v>
      </c>
      <c r="B24" s="21" t="n">
        <v>69.6</v>
      </c>
      <c r="C24" s="5" t="s">
        <v>536</v>
      </c>
      <c r="D24" s="5" t="s">
        <v>325</v>
      </c>
    </row>
    <row r="25" customFormat="false" ht="15" hidden="false" customHeight="false" outlineLevel="0" collapsed="false">
      <c r="A25" s="5" t="s">
        <v>554</v>
      </c>
      <c r="B25" s="28" t="n">
        <v>1700</v>
      </c>
      <c r="C25" s="5" t="s">
        <v>542</v>
      </c>
      <c r="D25" s="5" t="s">
        <v>555</v>
      </c>
    </row>
    <row r="26" customFormat="false" ht="15" hidden="false" customHeight="false" outlineLevel="0" collapsed="false">
      <c r="A26" s="5" t="s">
        <v>556</v>
      </c>
      <c r="B26" s="21" t="n">
        <v>27.4</v>
      </c>
      <c r="C26" s="5" t="s">
        <v>536</v>
      </c>
      <c r="D26" s="5" t="s">
        <v>325</v>
      </c>
    </row>
    <row r="27" customFormat="false" ht="15" hidden="false" customHeight="false" outlineLevel="0" collapsed="false">
      <c r="A27" s="5" t="s">
        <v>557</v>
      </c>
      <c r="B27" s="28" t="n">
        <v>2500</v>
      </c>
      <c r="C27" s="5" t="s">
        <v>542</v>
      </c>
      <c r="D27" s="5" t="s">
        <v>194</v>
      </c>
    </row>
    <row r="29" customFormat="false" ht="15" hidden="false" customHeight="false" outlineLevel="0" collapsed="false">
      <c r="A29" s="18" t="s">
        <v>196</v>
      </c>
    </row>
    <row r="30" customFormat="false" ht="72" hidden="false" customHeight="true" outlineLevel="0" collapsed="false">
      <c r="A30" s="6" t="s">
        <v>197</v>
      </c>
      <c r="B30" s="6" t="s">
        <v>198</v>
      </c>
      <c r="C30" s="6" t="s">
        <v>199</v>
      </c>
      <c r="D30" s="6" t="s">
        <v>200</v>
      </c>
      <c r="E30" s="6" t="s">
        <v>201</v>
      </c>
      <c r="F30" s="6" t="s">
        <v>202</v>
      </c>
      <c r="G30" s="6" t="s">
        <v>203</v>
      </c>
      <c r="H30" s="6" t="s">
        <v>204</v>
      </c>
      <c r="I30" s="6" t="s">
        <v>27</v>
      </c>
      <c r="J30" s="6" t="s">
        <v>205</v>
      </c>
      <c r="K30" s="6" t="s">
        <v>206</v>
      </c>
      <c r="L30" s="6" t="s">
        <v>29</v>
      </c>
      <c r="M30" s="6" t="s">
        <v>30</v>
      </c>
      <c r="N30" s="6" t="s">
        <v>207</v>
      </c>
      <c r="O30" s="6" t="s">
        <v>208</v>
      </c>
      <c r="P30" s="6" t="s">
        <v>209</v>
      </c>
      <c r="Q30" s="6" t="s">
        <v>210</v>
      </c>
      <c r="R30" s="6" t="s">
        <v>211</v>
      </c>
      <c r="S30" s="6" t="s">
        <v>212</v>
      </c>
      <c r="T30" s="6" t="s">
        <v>213</v>
      </c>
      <c r="U30" s="6" t="s">
        <v>214</v>
      </c>
      <c r="V30" s="6" t="s">
        <v>215</v>
      </c>
      <c r="W30" s="6" t="s">
        <v>133</v>
      </c>
    </row>
    <row r="31" customFormat="false" ht="15" hidden="false" customHeight="false" outlineLevel="0" collapsed="false">
      <c r="A31" s="2" t="s">
        <v>558</v>
      </c>
      <c r="B31" s="5" t="s">
        <v>559</v>
      </c>
      <c r="C31" s="5" t="s">
        <v>560</v>
      </c>
      <c r="D31" s="20" t="n">
        <f aca="false">$B$14/$B$13</f>
        <v>0.117482517482517</v>
      </c>
      <c r="E31" s="5"/>
      <c r="F31" s="22" t="n">
        <f aca="false">$B$15</f>
        <v>4500</v>
      </c>
      <c r="G31" s="5"/>
      <c r="H31" s="20" t="n">
        <f aca="false">D31*F31</f>
        <v>528.671328671329</v>
      </c>
      <c r="I31" s="11" t="n">
        <f aca="false">H31/$H$38</f>
        <v>0.46957396721678</v>
      </c>
      <c r="J31" s="23" t="n">
        <v>0.17</v>
      </c>
      <c r="K31" s="15" t="n">
        <f aca="false">IF(SUMIF($B$31:$B$37,B31,$H$31:$H$37)=0,0,H31/SUMIF($B$31:$B$37,B31,$H$31:$H$37))</f>
        <v>0.582277506065391</v>
      </c>
      <c r="L31" s="24" t="n">
        <f aca="false">K31*INDEX($L$42:$L$44,MATCH(B31,$A$42:$A$44,0))</f>
        <v>0</v>
      </c>
      <c r="M31" s="24" t="n">
        <f aca="false">K31*INDEX($M$42:$M$44,MATCH(B31,$A$42:$A$44,0))</f>
        <v>0.020489986922835</v>
      </c>
      <c r="N31" s="24" t="n">
        <f aca="false">K31*INDEX($N$42:$N$44,MATCH(B31,$A$42:$A$44,0))</f>
        <v>0.511941787072305</v>
      </c>
      <c r="O31" s="24" t="n">
        <f aca="false">K31*INDEX($O$42:$O$44,MATCH(B31,$A$42:$A$44,0))</f>
        <v>0.020489986922835</v>
      </c>
      <c r="P31" s="24" t="n">
        <f aca="false">K31*INDEX($P$42:$P$44,MATCH(B31,$A$42:$A$44,0))</f>
        <v>0.0147220139091874</v>
      </c>
      <c r="Q31" s="11" t="n">
        <f aca="false">INDEX($Q$42:$Q$44,MATCH(B31,$A$42:$A$44,0))*K31*$B$9</f>
        <v>-0.0510715926493232</v>
      </c>
      <c r="R31" s="25" t="n">
        <f aca="false">INDEX($R$42:$R$44,MATCH(B31,$A$42:$A$44,0))*K31*$B$9</f>
        <v>-0.04097997384567</v>
      </c>
      <c r="S31" s="11" t="str">
        <f aca="false">IF(INDEX($S$42:$S$44,MATCH(B31,$A$42:$A$44,0))="","no external floor",INDEX($S$42:$S$44,MATCH(B31,$A$42:$A$44,0))/K31)</f>
        <v>no external floor</v>
      </c>
      <c r="T31" s="25" t="n">
        <f aca="false">INDEX($M$42:$M$44,MATCH(B31,$A$42:$A$44,0))*IF(INDEX($S$42:$S$44,MATCH(B31,$A$42:$A$44,0))="",-K31,MAX(-K31,INDEX($S$42:$S$44,MATCH(B31,$A$42:$A$44,0))))</f>
        <v>-0.020489986922835</v>
      </c>
      <c r="U31" s="22" t="n">
        <f aca="false">IF(D31=0,"",M31/D31*1)</f>
        <v>0.174408817259846</v>
      </c>
      <c r="V31" s="22" t="n">
        <f aca="false">IF(OR(J31="",J31=0),"",U31/J31)</f>
        <v>1.02593421917556</v>
      </c>
      <c r="W31" s="2" t="s">
        <v>561</v>
      </c>
    </row>
    <row r="32" customFormat="false" ht="15" hidden="false" customHeight="false" outlineLevel="0" collapsed="false">
      <c r="A32" s="2" t="s">
        <v>562</v>
      </c>
      <c r="B32" s="5" t="s">
        <v>559</v>
      </c>
      <c r="C32" s="5" t="s">
        <v>560</v>
      </c>
      <c r="D32" s="20" t="n">
        <f aca="false">$B$16/$B$13</f>
        <v>0.027972027972028</v>
      </c>
      <c r="E32" s="5"/>
      <c r="F32" s="22" t="n">
        <f aca="false">$B$17</f>
        <v>2000</v>
      </c>
      <c r="G32" s="5"/>
      <c r="H32" s="20" t="n">
        <f aca="false">D32*F32</f>
        <v>55.944055944056</v>
      </c>
      <c r="I32" s="11" t="n">
        <f aca="false">H32/$H$38</f>
        <v>0.0496903669012466</v>
      </c>
      <c r="J32" s="23" t="n">
        <v>0.16</v>
      </c>
      <c r="K32" s="15" t="n">
        <f aca="false">IF(SUMIF($B$31:$B$37,B32,$H$31:$H$37)=0,0,H32/SUMIF($B$31:$B$37,B32,$H$31:$H$37))</f>
        <v>0.061616667308507</v>
      </c>
      <c r="L32" s="24" t="n">
        <f aca="false">K32*INDEX($L$42:$L$44,MATCH(B32,$A$42:$A$44,0))</f>
        <v>0</v>
      </c>
      <c r="M32" s="24" t="n">
        <f aca="false">K32*INDEX($M$42:$M$44,MATCH(B32,$A$42:$A$44,0))</f>
        <v>0.00216825258442699</v>
      </c>
      <c r="N32" s="24" t="n">
        <f aca="false">K32*INDEX($N$42:$N$44,MATCH(B32,$A$42:$A$44,0))</f>
        <v>0.0541737340817254</v>
      </c>
      <c r="O32" s="24" t="n">
        <f aca="false">K32*INDEX($O$42:$O$44,MATCH(B32,$A$42:$A$44,0))</f>
        <v>0.00216825258442699</v>
      </c>
      <c r="P32" s="24" t="n">
        <f aca="false">K32*INDEX($P$42:$P$44,MATCH(B32,$A$42:$A$44,0))</f>
        <v>0.00155788506975528</v>
      </c>
      <c r="Q32" s="11" t="n">
        <f aca="false">INDEX($Q$42:$Q$44,MATCH(B32,$A$42:$A$44,0))*K32*$B$9</f>
        <v>-0.00540440133855273</v>
      </c>
      <c r="R32" s="25" t="n">
        <f aca="false">INDEX($R$42:$R$44,MATCH(B32,$A$42:$A$44,0))*K32*$B$9</f>
        <v>-0.00433650516885397</v>
      </c>
      <c r="S32" s="11" t="str">
        <f aca="false">IF(INDEX($S$42:$S$44,MATCH(B32,$A$42:$A$44,0))="","no external floor",INDEX($S$42:$S$44,MATCH(B32,$A$42:$A$44,0))/K32)</f>
        <v>no external floor</v>
      </c>
      <c r="T32" s="25" t="n">
        <f aca="false">INDEX($M$42:$M$44,MATCH(B32,$A$42:$A$44,0))*IF(INDEX($S$42:$S$44,MATCH(B32,$A$42:$A$44,0))="",-K32,MAX(-K32,INDEX($S$42:$S$44,MATCH(B32,$A$42:$A$44,0))))</f>
        <v>-0.00216825258442699</v>
      </c>
      <c r="U32" s="22" t="n">
        <f aca="false">IF(D32=0,"",M32/D32*1)</f>
        <v>0.0775150298932647</v>
      </c>
      <c r="V32" s="22" t="n">
        <f aca="false">IF(OR(J32="",J32=0),"",U32/J32)</f>
        <v>0.484468936832905</v>
      </c>
      <c r="W32" s="2" t="s">
        <v>194</v>
      </c>
    </row>
    <row r="33" customFormat="false" ht="15" hidden="false" customHeight="false" outlineLevel="0" collapsed="false">
      <c r="A33" s="2" t="s">
        <v>563</v>
      </c>
      <c r="B33" s="5" t="s">
        <v>559</v>
      </c>
      <c r="C33" s="5" t="s">
        <v>560</v>
      </c>
      <c r="D33" s="20" t="n">
        <f aca="false">$B$18/$B$13</f>
        <v>0.119090909090909</v>
      </c>
      <c r="E33" s="5"/>
      <c r="F33" s="22" t="n">
        <f aca="false">$B$19</f>
        <v>2500</v>
      </c>
      <c r="G33" s="5"/>
      <c r="H33" s="20" t="n">
        <f aca="false">D33*F33</f>
        <v>297.727272727273</v>
      </c>
      <c r="I33" s="11" t="n">
        <f aca="false">H33/$H$38</f>
        <v>0.264445921352572</v>
      </c>
      <c r="J33" s="23" t="n">
        <v>0.15</v>
      </c>
      <c r="K33" s="15" t="n">
        <f aca="false">IF(SUMIF($B$31:$B$37,B33,$H$31:$H$37)=0,0,H33/SUMIF($B$31:$B$37,B33,$H$31:$H$37))</f>
        <v>0.32791620133246</v>
      </c>
      <c r="L33" s="24" t="n">
        <f aca="false">K33*INDEX($L$42:$L$44,MATCH(B33,$A$42:$A$44,0))</f>
        <v>0</v>
      </c>
      <c r="M33" s="24" t="n">
        <f aca="false">K33*INDEX($M$42:$M$44,MATCH(B33,$A$42:$A$44,0))</f>
        <v>0.0115391692227474</v>
      </c>
      <c r="N33" s="24" t="n">
        <f aca="false">K33*INDEX($N$42:$N$44,MATCH(B33,$A$42:$A$44,0))</f>
        <v>0.288305841066182</v>
      </c>
      <c r="O33" s="24" t="n">
        <f aca="false">K33*INDEX($O$42:$O$44,MATCH(B33,$A$42:$A$44,0))</f>
        <v>0.0115391692227474</v>
      </c>
      <c r="P33" s="24" t="n">
        <f aca="false">K33*INDEX($P$42:$P$44,MATCH(B33,$A$42:$A$44,0))</f>
        <v>0.00829086960560387</v>
      </c>
      <c r="Q33" s="11" t="n">
        <f aca="false">INDEX($Q$42:$Q$44,MATCH(B33,$A$42:$A$44,0))*K33*$B$9</f>
        <v>-0.0287615483736103</v>
      </c>
      <c r="R33" s="25" t="n">
        <f aca="false">INDEX($R$42:$R$44,MATCH(B33,$A$42:$A$44,0))*K33*$B$9</f>
        <v>-0.0230783384454947</v>
      </c>
      <c r="S33" s="11" t="str">
        <f aca="false">IF(INDEX($S$42:$S$44,MATCH(B33,$A$42:$A$44,0))="","no external floor",INDEX($S$42:$S$44,MATCH(B33,$A$42:$A$44,0))/K33)</f>
        <v>no external floor</v>
      </c>
      <c r="T33" s="25" t="n">
        <f aca="false">INDEX($M$42:$M$44,MATCH(B33,$A$42:$A$44,0))*IF(INDEX($S$42:$S$44,MATCH(B33,$A$42:$A$44,0))="",-K33,MAX(-K33,INDEX($S$42:$S$44,MATCH(B33,$A$42:$A$44,0))))</f>
        <v>-0.0115391692227474</v>
      </c>
      <c r="U33" s="22" t="n">
        <f aca="false">IF(D33=0,"",M33/D33*1)</f>
        <v>0.0968937873665809</v>
      </c>
      <c r="V33" s="22" t="n">
        <f aca="false">IF(OR(J33="",J33=0),"",U33/J33)</f>
        <v>0.645958582443873</v>
      </c>
      <c r="W33" s="2" t="s">
        <v>564</v>
      </c>
    </row>
    <row r="34" customFormat="false" ht="15" hidden="false" customHeight="false" outlineLevel="0" collapsed="false">
      <c r="A34" s="2" t="s">
        <v>549</v>
      </c>
      <c r="B34" s="5" t="s">
        <v>559</v>
      </c>
      <c r="C34" s="5" t="s">
        <v>560</v>
      </c>
      <c r="D34" s="20" t="n">
        <f aca="false">$B$20/$B$13</f>
        <v>0.0170629370629371</v>
      </c>
      <c r="E34" s="5"/>
      <c r="F34" s="22" t="n">
        <f aca="false">$B$21</f>
        <v>1500</v>
      </c>
      <c r="G34" s="5"/>
      <c r="H34" s="20" t="n">
        <f aca="false">D34*F34</f>
        <v>25.5944055944056</v>
      </c>
      <c r="I34" s="11" t="n">
        <f aca="false">H34/$H$38</f>
        <v>0.0227333428573203</v>
      </c>
      <c r="J34" s="23" t="n">
        <v>0.15</v>
      </c>
      <c r="K34" s="15" t="n">
        <f aca="false">IF(SUMIF($B$31:$B$37,B34,$H$31:$H$37)=0,0,H34/SUMIF($B$31:$B$37,B34,$H$31:$H$37))</f>
        <v>0.0281896252936419</v>
      </c>
      <c r="L34" s="24" t="n">
        <f aca="false">K34*INDEX($L$42:$L$44,MATCH(B34,$A$42:$A$44,0))</f>
        <v>0</v>
      </c>
      <c r="M34" s="24" t="n">
        <f aca="false">K34*INDEX($M$42:$M$44,MATCH(B34,$A$42:$A$44,0))</f>
        <v>0.000991975557375346</v>
      </c>
      <c r="N34" s="24" t="n">
        <f aca="false">K34*INDEX($N$42:$N$44,MATCH(B34,$A$42:$A$44,0))</f>
        <v>0.0247844833423894</v>
      </c>
      <c r="O34" s="24" t="n">
        <f aca="false">K34*INDEX($O$42:$O$44,MATCH(B34,$A$42:$A$44,0))</f>
        <v>0.000991975557375346</v>
      </c>
      <c r="P34" s="24" t="n">
        <f aca="false">K34*INDEX($P$42:$P$44,MATCH(B34,$A$42:$A$44,0))</f>
        <v>0.000712732419413039</v>
      </c>
      <c r="Q34" s="11" t="n">
        <f aca="false">INDEX($Q$42:$Q$44,MATCH(B34,$A$42:$A$44,0))*K34*$B$9</f>
        <v>-0.00247251361238787</v>
      </c>
      <c r="R34" s="25" t="n">
        <f aca="false">INDEX($R$42:$R$44,MATCH(B34,$A$42:$A$44,0))*K34*$B$9</f>
        <v>-0.00198395111475069</v>
      </c>
      <c r="S34" s="11" t="str">
        <f aca="false">IF(INDEX($S$42:$S$44,MATCH(B34,$A$42:$A$44,0))="","no external floor",INDEX($S$42:$S$44,MATCH(B34,$A$42:$A$44,0))/K34)</f>
        <v>no external floor</v>
      </c>
      <c r="T34" s="25" t="n">
        <f aca="false">INDEX($M$42:$M$44,MATCH(B34,$A$42:$A$44,0))*IF(INDEX($S$42:$S$44,MATCH(B34,$A$42:$A$44,0))="",-K34,MAX(-K34,INDEX($S$42:$S$44,MATCH(B34,$A$42:$A$44,0))))</f>
        <v>-0.000991975557375346</v>
      </c>
      <c r="U34" s="22" t="n">
        <f aca="false">IF(D34=0,"",M34/D34*1)</f>
        <v>0.0581362724199485</v>
      </c>
      <c r="V34" s="22" t="n">
        <f aca="false">IF(OR(J34="",J34=0),"",U34/J34)</f>
        <v>0.387575149466324</v>
      </c>
      <c r="W34" s="2" t="s">
        <v>186</v>
      </c>
    </row>
    <row r="35" customFormat="false" ht="15" hidden="false" customHeight="false" outlineLevel="0" collapsed="false">
      <c r="A35" s="2" t="s">
        <v>551</v>
      </c>
      <c r="B35" s="5" t="s">
        <v>551</v>
      </c>
      <c r="C35" s="5" t="s">
        <v>560</v>
      </c>
      <c r="D35" s="20" t="n">
        <f aca="false">$B$22/$B$13</f>
        <v>0.0145454545454545</v>
      </c>
      <c r="E35" s="5"/>
      <c r="F35" s="22" t="n">
        <f aca="false">$B$23</f>
        <v>6000</v>
      </c>
      <c r="G35" s="5"/>
      <c r="H35" s="20" t="n">
        <f aca="false">D35*F35</f>
        <v>87.2727272727273</v>
      </c>
      <c r="I35" s="11" t="n">
        <f aca="false">H35/$H$38</f>
        <v>0.0775169723659447</v>
      </c>
      <c r="J35" s="23"/>
      <c r="K35" s="15" t="n">
        <f aca="false">IF(SUMIF($B$31:$B$37,B35,$H$31:$H$37)=0,0,H35/SUMIF($B$31:$B$37,B35,$H$31:$H$37))</f>
        <v>1</v>
      </c>
      <c r="L35" s="24" t="n">
        <f aca="false">K35*INDEX($L$42:$L$44,MATCH(B35,$A$42:$A$44,0))</f>
        <v>0</v>
      </c>
      <c r="M35" s="24" t="n">
        <f aca="false">K35*INDEX($M$42:$M$44,MATCH(B35,$A$42:$A$44,0))</f>
        <v>0.00372072143487671</v>
      </c>
      <c r="N35" s="24" t="n">
        <f aca="false">K35*INDEX($N$42:$N$44,MATCH(B35,$A$42:$A$44,0))</f>
        <v>0.0929621276842408</v>
      </c>
      <c r="O35" s="24" t="n">
        <f aca="false">K35*INDEX($O$42:$O$44,MATCH(B35,$A$42:$A$44,0))</f>
        <v>0.00372072143487671</v>
      </c>
      <c r="P35" s="24" t="n">
        <f aca="false">K35*INDEX($P$42:$P$44,MATCH(B35,$A$42:$A$44,0))</f>
        <v>0.00243030070881823</v>
      </c>
      <c r="Q35" s="11" t="n">
        <f aca="false">INDEX($Q$42:$Q$44,MATCH(B35,$A$42:$A$44,0))*K35*$B$9</f>
        <v>-0.0996279278565123</v>
      </c>
      <c r="R35" s="25" t="n">
        <f aca="false">INDEX($R$42:$R$44,MATCH(B35,$A$42:$A$44,0))*K35*$B$9</f>
        <v>-0.00744144286975341</v>
      </c>
      <c r="S35" s="11" t="n">
        <f aca="false">IF(INDEX($S$42:$S$44,MATCH(B35,$A$42:$A$44,0))="","no external floor",INDEX($S$42:$S$44,MATCH(B35,$A$42:$A$44,0))/K35)</f>
        <v>-0.701345885085092</v>
      </c>
      <c r="T35" s="25" t="n">
        <f aca="false">INDEX($M$42:$M$44,MATCH(B35,$A$42:$A$44,0))*IF(INDEX($S$42:$S$44,MATCH(B35,$A$42:$A$44,0))="",-K35,MAX(-K35,INDEX($S$42:$S$44,MATCH(B35,$A$42:$A$44,0))))</f>
        <v>-0.00260951266789868</v>
      </c>
      <c r="U35" s="22" t="n">
        <f aca="false">IF(D35=0,"",M35/D35*1)</f>
        <v>0.255799598647774</v>
      </c>
      <c r="V35" s="22" t="str">
        <f aca="false">IF(OR(J35="",J35=0),"",U35/J35)</f>
        <v/>
      </c>
      <c r="W35" s="2" t="s">
        <v>186</v>
      </c>
    </row>
    <row r="36" customFormat="false" ht="15" hidden="false" customHeight="false" outlineLevel="0" collapsed="false">
      <c r="A36" s="2" t="s">
        <v>553</v>
      </c>
      <c r="B36" s="5" t="s">
        <v>565</v>
      </c>
      <c r="C36" s="5" t="s">
        <v>560</v>
      </c>
      <c r="D36" s="20" t="n">
        <f aca="false">$B$24/$B$13</f>
        <v>0.0486713286713287</v>
      </c>
      <c r="E36" s="5"/>
      <c r="F36" s="22" t="n">
        <f aca="false">$B$25</f>
        <v>1700</v>
      </c>
      <c r="G36" s="5"/>
      <c r="H36" s="20" t="n">
        <f aca="false">D36*F36</f>
        <v>82.7412587412587</v>
      </c>
      <c r="I36" s="11" t="n">
        <f aca="false">H36/$H$38</f>
        <v>0.0734920526469437</v>
      </c>
      <c r="J36" s="23" t="n">
        <v>0.65</v>
      </c>
      <c r="K36" s="15" t="n">
        <f aca="false">IF(SUMIF($B$31:$B$37,B36,$H$31:$H$37)=0,0,H36/SUMIF($B$31:$B$37,B36,$H$31:$H$37))</f>
        <v>0.633336901830639</v>
      </c>
      <c r="L36" s="24" t="n">
        <f aca="false">K36*INDEX($L$42:$L$44,MATCH(B36,$A$42:$A$44,0))</f>
        <v>0</v>
      </c>
      <c r="M36" s="24" t="n">
        <f aca="false">K36*INDEX($M$42:$M$44,MATCH(B36,$A$42:$A$44,0))</f>
        <v>0.000705506025920852</v>
      </c>
      <c r="N36" s="24" t="n">
        <f aca="false">K36*INDEX($N$42:$N$44,MATCH(B36,$A$42:$A$44,0))</f>
        <v>0.0176270495955118</v>
      </c>
      <c r="O36" s="24" t="n">
        <f aca="false">K36*INDEX($O$42:$O$44,MATCH(B36,$A$42:$A$44,0))</f>
        <v>0.000705506025920852</v>
      </c>
      <c r="P36" s="24" t="n">
        <f aca="false">K36*INDEX($P$42:$P$44,MATCH(B36,$A$42:$A$44,0))</f>
        <v>0.00230411201816806</v>
      </c>
      <c r="Q36" s="11" t="n">
        <f aca="false">INDEX($Q$42:$Q$44,MATCH(B36,$A$42:$A$44,0))*K36*$B$9</f>
        <v>-0.0126526279160944</v>
      </c>
      <c r="R36" s="25" t="n">
        <f aca="false">INDEX($R$42:$R$44,MATCH(B36,$A$42:$A$44,0))*K36*$B$9</f>
        <v>-0.0014110120518417</v>
      </c>
      <c r="S36" s="11" t="str">
        <f aca="false">IF(INDEX($S$42:$S$44,MATCH(B36,$A$42:$A$44,0))="","no external floor",INDEX($S$42:$S$44,MATCH(B36,$A$42:$A$44,0))/K36)</f>
        <v>no external floor</v>
      </c>
      <c r="T36" s="25" t="n">
        <f aca="false">INDEX($M$42:$M$44,MATCH(B36,$A$42:$A$44,0))*IF(INDEX($S$42:$S$44,MATCH(B36,$A$42:$A$44,0))="",-K36,MAX(-K36,INDEX($S$42:$S$44,MATCH(B36,$A$42:$A$44,0))))</f>
        <v>-0.000705506025920852</v>
      </c>
      <c r="U36" s="22" t="n">
        <f aca="false">IF(D36=0,"",M36/D36*1)</f>
        <v>0.0144953105900405</v>
      </c>
      <c r="V36" s="22" t="n">
        <f aca="false">IF(OR(J36="",J36=0),"",U36/J36)</f>
        <v>0.0223004778308315</v>
      </c>
      <c r="W36" s="2" t="s">
        <v>566</v>
      </c>
    </row>
    <row r="37" customFormat="false" ht="15" hidden="false" customHeight="false" outlineLevel="0" collapsed="false">
      <c r="A37" s="2" t="s">
        <v>556</v>
      </c>
      <c r="B37" s="5" t="s">
        <v>565</v>
      </c>
      <c r="C37" s="5" t="s">
        <v>560</v>
      </c>
      <c r="D37" s="20" t="n">
        <f aca="false">$B$26/$B$13</f>
        <v>0.0191608391608392</v>
      </c>
      <c r="E37" s="5"/>
      <c r="F37" s="22" t="n">
        <f aca="false">$B$27</f>
        <v>2500</v>
      </c>
      <c r="G37" s="5"/>
      <c r="H37" s="20" t="n">
        <f aca="false">D37*F37</f>
        <v>47.9020979020979</v>
      </c>
      <c r="I37" s="11" t="n">
        <f aca="false">H37/$H$38</f>
        <v>0.0425473766591924</v>
      </c>
      <c r="J37" s="23"/>
      <c r="K37" s="15" t="n">
        <f aca="false">IF(SUMIF($B$31:$B$37,B37,$H$31:$H$37)=0,0,H37/SUMIF($B$31:$B$37,B37,$H$31:$H$37))</f>
        <v>0.366663098169361</v>
      </c>
      <c r="L37" s="24" t="n">
        <f aca="false">K37*INDEX($L$42:$L$44,MATCH(B37,$A$42:$A$44,0))</f>
        <v>0</v>
      </c>
      <c r="M37" s="24" t="n">
        <f aca="false">K37*INDEX($M$42:$M$44,MATCH(B37,$A$42:$A$44,0))</f>
        <v>0.000408444580591433</v>
      </c>
      <c r="N37" s="24" t="n">
        <f aca="false">K37*INDEX($N$42:$N$44,MATCH(B37,$A$42:$A$44,0))</f>
        <v>0.010204977157645</v>
      </c>
      <c r="O37" s="24" t="n">
        <f aca="false">K37*INDEX($O$42:$O$44,MATCH(B37,$A$42:$A$44,0))</f>
        <v>0.000408444580591433</v>
      </c>
      <c r="P37" s="24" t="n">
        <f aca="false">K37*INDEX($P$42:$P$44,MATCH(B37,$A$42:$A$44,0))</f>
        <v>0.00133393909097796</v>
      </c>
      <c r="Q37" s="11" t="n">
        <f aca="false">INDEX($Q$42:$Q$44,MATCH(B37,$A$42:$A$44,0))*K37*$B$9</f>
        <v>-0.00732509307177539</v>
      </c>
      <c r="R37" s="25" t="n">
        <f aca="false">INDEX($R$42:$R$44,MATCH(B37,$A$42:$A$44,0))*K37*$B$9</f>
        <v>-0.000816889161182867</v>
      </c>
      <c r="S37" s="11" t="str">
        <f aca="false">IF(INDEX($S$42:$S$44,MATCH(B37,$A$42:$A$44,0))="","no external floor",INDEX($S$42:$S$44,MATCH(B37,$A$42:$A$44,0))/K37)</f>
        <v>no external floor</v>
      </c>
      <c r="T37" s="25" t="n">
        <f aca="false">INDEX($M$42:$M$44,MATCH(B37,$A$42:$A$44,0))*IF(INDEX($S$42:$S$44,MATCH(B37,$A$42:$A$44,0))="",-K37,MAX(-K37,INDEX($S$42:$S$44,MATCH(B37,$A$42:$A$44,0))))</f>
        <v>-0.000408444580591433</v>
      </c>
      <c r="U37" s="22" t="n">
        <f aca="false">IF(D37=0,"",M37/D37*1)</f>
        <v>0.0213166332206478</v>
      </c>
      <c r="V37" s="22" t="str">
        <f aca="false">IF(OR(J37="",J37=0),"",U37/J37)</f>
        <v/>
      </c>
      <c r="W37" s="2" t="s">
        <v>194</v>
      </c>
    </row>
    <row r="38" customFormat="false" ht="15" hidden="false" customHeight="false" outlineLevel="0" collapsed="false">
      <c r="A38" s="14" t="s">
        <v>252</v>
      </c>
      <c r="H38" s="26" t="n">
        <f aca="false">SUM(H31:H37)</f>
        <v>1125.85314685315</v>
      </c>
      <c r="I38" s="27" t="n">
        <f aca="false">SUM(I31:I37)</f>
        <v>1</v>
      </c>
    </row>
    <row r="39" customFormat="false" ht="15" hidden="false" customHeight="false" outlineLevel="0" collapsed="false">
      <c r="A39" s="5" t="s">
        <v>567</v>
      </c>
    </row>
    <row r="41" customFormat="false" ht="72" hidden="false" customHeight="true" outlineLevel="0" collapsed="false">
      <c r="A41" s="6" t="s">
        <v>254</v>
      </c>
      <c r="B41" s="6" t="s">
        <v>255</v>
      </c>
      <c r="C41" s="6" t="s">
        <v>256</v>
      </c>
      <c r="D41" s="6" t="s">
        <v>27</v>
      </c>
      <c r="E41" s="6" t="s">
        <v>257</v>
      </c>
      <c r="F41" s="6" t="s">
        <v>258</v>
      </c>
      <c r="G41" s="6" t="s">
        <v>259</v>
      </c>
      <c r="H41" s="6" t="s">
        <v>260</v>
      </c>
      <c r="I41" s="6" t="s">
        <v>261</v>
      </c>
      <c r="J41" s="6" t="s">
        <v>262</v>
      </c>
      <c r="K41" s="6" t="s">
        <v>263</v>
      </c>
      <c r="L41" s="6" t="s">
        <v>264</v>
      </c>
      <c r="M41" s="6" t="s">
        <v>265</v>
      </c>
      <c r="N41" s="6" t="s">
        <v>266</v>
      </c>
      <c r="O41" s="6" t="s">
        <v>267</v>
      </c>
      <c r="P41" s="6" t="s">
        <v>268</v>
      </c>
      <c r="Q41" s="6" t="s">
        <v>269</v>
      </c>
      <c r="R41" s="6" t="s">
        <v>270</v>
      </c>
      <c r="S41" s="6" t="s">
        <v>271</v>
      </c>
      <c r="T41" s="6" t="s">
        <v>272</v>
      </c>
      <c r="U41" s="6" t="s">
        <v>273</v>
      </c>
    </row>
    <row r="42" customFormat="false" ht="46.25" hidden="false" customHeight="false" outlineLevel="0" collapsed="false">
      <c r="A42" s="5" t="s">
        <v>559</v>
      </c>
      <c r="B42" s="5" t="s">
        <v>560</v>
      </c>
      <c r="C42" s="20" t="n">
        <f aca="false">SUMIF($B$31:$B$37,A42,$H$31:$H$37)</f>
        <v>907.937062937063</v>
      </c>
      <c r="D42" s="11" t="n">
        <f aca="false">C42/$H$38</f>
        <v>0.806443598327919</v>
      </c>
      <c r="E42" s="11" t="n">
        <f aca="false">C42/SUMIF($B$42:$B$44,B42,$C$42:$C$44)</f>
        <v>0.806443598327919</v>
      </c>
      <c r="F42" s="28" t="n">
        <v>-1.1</v>
      </c>
      <c r="G42" s="23"/>
      <c r="H42" s="2"/>
      <c r="I42" s="15" t="n">
        <f aca="false">E42/ABS(F42)</f>
        <v>0.733130543934472</v>
      </c>
      <c r="J42" s="15" t="n">
        <f aca="false">INDEX($G$49:$G$49,MATCH(B42,$A$49:$A$49,0))</f>
        <v>-1.19924869156889</v>
      </c>
      <c r="K42" s="24" t="n">
        <f aca="false">INDEX($I$49:$I$49,MATCH(B42,$A$49:$A$49,0))</f>
        <v>1</v>
      </c>
      <c r="L42" s="24" t="n">
        <f aca="false">$B$7*K42*I42/(1+$B$7*$B$62)</f>
        <v>0</v>
      </c>
      <c r="M42" s="24" t="n">
        <f aca="false">$B$8*K42*I42/(1+$B$8*$B$62)</f>
        <v>0.0351893842873847</v>
      </c>
      <c r="N42" s="24" t="n">
        <f aca="false">K42*I42/$B$62</f>
        <v>0.879205845562602</v>
      </c>
      <c r="O42" s="24" t="n">
        <f aca="false">$B$8*(D42/ABS(F42))/(1+$B$8*$B$54)</f>
        <v>0.0351893842873847</v>
      </c>
      <c r="P42" s="24" t="n">
        <f aca="false">$B$8*D42/($B$8+ABS($B$55))</f>
        <v>0.0252835010039596</v>
      </c>
      <c r="Q42" s="24" t="n">
        <f aca="false">IF(T42="",(M42-1)/F42,((J42*((M42-T42*ABS(J42)*I42)/$B$61)+ABS(J42)*I42)-1)/F42)</f>
        <v>0.877100559738741</v>
      </c>
      <c r="R42" s="24" t="n">
        <f aca="false">M42/$B$8</f>
        <v>0.703787685747694</v>
      </c>
      <c r="S42" s="11" t="str">
        <f aca="false">IF(OR(G42="",G42&lt;=0,G42&gt;=1),"",EXP(LN(G42)/Q42)-1)</f>
        <v/>
      </c>
      <c r="T42" s="15" t="str">
        <f aca="false">INDEX($E$49:$E$49,MATCH(B42,$A$49:$A$49,0))</f>
        <v/>
      </c>
      <c r="U42" s="2" t="s">
        <v>568</v>
      </c>
    </row>
    <row r="43" customFormat="false" ht="15" hidden="false" customHeight="false" outlineLevel="0" collapsed="false">
      <c r="A43" s="5" t="s">
        <v>551</v>
      </c>
      <c r="B43" s="5" t="s">
        <v>560</v>
      </c>
      <c r="C43" s="20" t="n">
        <f aca="false">SUMIF($B$31:$B$37,A43,$H$31:$H$37)</f>
        <v>87.2727272727273</v>
      </c>
      <c r="D43" s="11" t="n">
        <f aca="false">C43/$H$38</f>
        <v>0.0775169723659447</v>
      </c>
      <c r="E43" s="11" t="n">
        <f aca="false">C43/SUMIF($B$42:$B$44,B43,$C$42:$C$44)</f>
        <v>0.0775169723659447</v>
      </c>
      <c r="F43" s="28" t="n">
        <v>-1</v>
      </c>
      <c r="G43" s="23" t="n">
        <v>0.3</v>
      </c>
      <c r="H43" s="2" t="s">
        <v>569</v>
      </c>
      <c r="I43" s="15" t="n">
        <f aca="false">E43/ABS(F43)</f>
        <v>0.0775169723659447</v>
      </c>
      <c r="J43" s="15" t="n">
        <f aca="false">INDEX($G$49:$G$49,MATCH(B43,$A$49:$A$49,0))</f>
        <v>-1.19924869156889</v>
      </c>
      <c r="K43" s="24" t="n">
        <f aca="false">INDEX($I$49:$I$49,MATCH(B43,$A$49:$A$49,0))</f>
        <v>1</v>
      </c>
      <c r="L43" s="24" t="n">
        <f aca="false">$B$7*K43*I43/(1+$B$7*$B$62)</f>
        <v>0</v>
      </c>
      <c r="M43" s="24" t="n">
        <f aca="false">$B$8*K43*I43/(1+$B$8*$B$62)</f>
        <v>0.00372072143487671</v>
      </c>
      <c r="N43" s="24" t="n">
        <f aca="false">K43*I43/$B$62</f>
        <v>0.0929621276842408</v>
      </c>
      <c r="O43" s="24" t="n">
        <f aca="false">$B$8*(D43/ABS(F43))/(1+$B$8*$B$54)</f>
        <v>0.00372072143487671</v>
      </c>
      <c r="P43" s="24" t="n">
        <f aca="false">$B$8*D43/($B$8+ABS($B$55))</f>
        <v>0.00243030070881823</v>
      </c>
      <c r="Q43" s="24" t="n">
        <f aca="false">IF(T43="",(M43-1)/F43,((J43*((M43-T43*ABS(J43)*I43)/$B$61)+ABS(J43)*I43)-1)/F43)</f>
        <v>0.996279278565123</v>
      </c>
      <c r="R43" s="24" t="n">
        <f aca="false">M43/$B$8</f>
        <v>0.0744144286975341</v>
      </c>
      <c r="S43" s="11" t="n">
        <f aca="false">IF(OR(G43="",G43&lt;=0,G43&gt;=1),"",EXP(LN(G43)/Q43)-1)</f>
        <v>-0.701345885085092</v>
      </c>
      <c r="T43" s="15" t="str">
        <f aca="false">INDEX($E$49:$E$49,MATCH(B43,$A$49:$A$49,0))</f>
        <v/>
      </c>
      <c r="U43" s="2" t="s">
        <v>186</v>
      </c>
    </row>
    <row r="44" customFormat="false" ht="124.6" hidden="false" customHeight="false" outlineLevel="0" collapsed="false">
      <c r="A44" s="5" t="s">
        <v>565</v>
      </c>
      <c r="B44" s="5" t="s">
        <v>560</v>
      </c>
      <c r="C44" s="20" t="n">
        <f aca="false">SUMIF($B$31:$B$37,A44,$H$31:$H$37)</f>
        <v>130.643356643357</v>
      </c>
      <c r="D44" s="11" t="n">
        <f aca="false">C44/$H$38</f>
        <v>0.116039429306136</v>
      </c>
      <c r="E44" s="11" t="n">
        <f aca="false">C44/SUMIF($B$42:$B$44,B44,$C$42:$C$44)</f>
        <v>0.116039429306136</v>
      </c>
      <c r="F44" s="28" t="n">
        <v>-5</v>
      </c>
      <c r="G44" s="23"/>
      <c r="H44" s="2" t="s">
        <v>480</v>
      </c>
      <c r="I44" s="15" t="n">
        <f aca="false">E44/ABS(F44)</f>
        <v>0.0232078858612272</v>
      </c>
      <c r="J44" s="15" t="n">
        <f aca="false">INDEX($G$49:$G$49,MATCH(B44,$A$49:$A$49,0))</f>
        <v>-1.19924869156889</v>
      </c>
      <c r="K44" s="24" t="n">
        <f aca="false">INDEX($I$49:$I$49,MATCH(B44,$A$49:$A$49,0))</f>
        <v>1</v>
      </c>
      <c r="L44" s="24" t="n">
        <f aca="false">$B$7*K44*I44/(1+$B$7*$B$62)</f>
        <v>0</v>
      </c>
      <c r="M44" s="24" t="n">
        <f aca="false">$B$8*K44*I44/(1+$B$8*$B$62)</f>
        <v>0.00111395060651229</v>
      </c>
      <c r="N44" s="24" t="n">
        <f aca="false">K44*I44/$B$62</f>
        <v>0.0278320267531568</v>
      </c>
      <c r="O44" s="24" t="n">
        <f aca="false">$B$8*(D44/ABS(F44))/(1+$B$8*$B$54)</f>
        <v>0.00111395060651229</v>
      </c>
      <c r="P44" s="24" t="n">
        <f aca="false">$B$8*D44/($B$8+ABS($B$55))</f>
        <v>0.00363805110914601</v>
      </c>
      <c r="Q44" s="24" t="n">
        <f aca="false">IF(T44="",(M44-1)/F44,((J44*((M44-T44*ABS(J44)*I44)/$B$61)+ABS(J44)*I44)-1)/F44)</f>
        <v>0.199777209878698</v>
      </c>
      <c r="R44" s="24" t="n">
        <f aca="false">M44/$B$8</f>
        <v>0.0222790121302457</v>
      </c>
      <c r="S44" s="11" t="str">
        <f aca="false">IF(OR(G44="",G44&lt;=0,G44&gt;=1),"",EXP(LN(G44)/Q44)-1)</f>
        <v/>
      </c>
      <c r="T44" s="15" t="str">
        <f aca="false">INDEX($E$49:$E$49,MATCH(B44,$A$49:$A$49,0))</f>
        <v/>
      </c>
      <c r="U44" s="2" t="s">
        <v>570</v>
      </c>
    </row>
    <row r="48" customFormat="false" ht="72" hidden="false" customHeight="true" outlineLevel="0" collapsed="false">
      <c r="A48" s="6" t="s">
        <v>255</v>
      </c>
      <c r="B48" s="6" t="s">
        <v>288</v>
      </c>
      <c r="C48" s="6" t="s">
        <v>289</v>
      </c>
      <c r="D48" s="6" t="s">
        <v>290</v>
      </c>
      <c r="E48" s="6" t="s">
        <v>291</v>
      </c>
      <c r="F48" s="6" t="s">
        <v>292</v>
      </c>
      <c r="G48" s="6" t="s">
        <v>293</v>
      </c>
      <c r="H48" s="6" t="s">
        <v>294</v>
      </c>
      <c r="I48" s="6" t="s">
        <v>295</v>
      </c>
      <c r="J48" s="6" t="s">
        <v>296</v>
      </c>
    </row>
    <row r="49" customFormat="false" ht="15" hidden="false" customHeight="false" outlineLevel="0" collapsed="false">
      <c r="A49" s="5" t="s">
        <v>560</v>
      </c>
      <c r="B49" s="20" t="n">
        <f aca="false">SUMIF($C$31:$C$37,A49,$H$31:$H$37)</f>
        <v>1125.85314685315</v>
      </c>
      <c r="C49" s="11" t="n">
        <f aca="false">B49/$H$38</f>
        <v>1</v>
      </c>
      <c r="D49" s="13"/>
      <c r="E49" s="15" t="str">
        <f aca="false">IF(D49="","",D49/SUM($D$49:$D$49))</f>
        <v/>
      </c>
      <c r="F49" s="15" t="n">
        <f aca="false">SUMIF($B$42:$B$44,A49,$I$42:$I$44)</f>
        <v>0.833855402161644</v>
      </c>
      <c r="G49" s="15" t="n">
        <f aca="false">-1/F49</f>
        <v>-1.19924869156889</v>
      </c>
      <c r="H49" s="15" t="str">
        <f aca="false">IF(E49="","",E49*G49)</f>
        <v/>
      </c>
      <c r="I49" s="24" t="n">
        <f aca="false">IF(E49="",C49,($B$60/ABS($B$61))*E49*ABS(G49))</f>
        <v>1</v>
      </c>
      <c r="J49" s="24" t="n">
        <f aca="false">IF(E49="",C49/ABS(G49),"")</f>
        <v>0.833855402161644</v>
      </c>
    </row>
    <row r="51" customFormat="false" ht="15" hidden="false" customHeight="false" outlineLevel="0" collapsed="false">
      <c r="A51" s="18" t="s">
        <v>297</v>
      </c>
    </row>
    <row r="52" customFormat="false" ht="15" hidden="false" customHeight="false" outlineLevel="0" collapsed="false">
      <c r="A52" s="14" t="s">
        <v>298</v>
      </c>
      <c r="B52" s="20" t="n">
        <f aca="false">$H$38</f>
        <v>1125.85314685315</v>
      </c>
    </row>
    <row r="53" customFormat="false" ht="15" hidden="false" customHeight="false" outlineLevel="0" collapsed="false">
      <c r="A53" s="14" t="s">
        <v>299</v>
      </c>
      <c r="B53" s="15" t="n">
        <f aca="false">-1/B62</f>
        <v>-1.19924869156889</v>
      </c>
    </row>
    <row r="54" customFormat="false" ht="15" hidden="false" customHeight="false" outlineLevel="0" collapsed="false">
      <c r="A54" s="14" t="s">
        <v>300</v>
      </c>
      <c r="B54" s="15" t="n">
        <f aca="false">SUMPRODUCT(D42:D44/ABS(F42:F44))</f>
        <v>0.833855402161644</v>
      </c>
    </row>
    <row r="55" customFormat="false" ht="15" hidden="false" customHeight="false" outlineLevel="0" collapsed="false">
      <c r="A55" s="14" t="s">
        <v>301</v>
      </c>
      <c r="B55" s="15" t="n">
        <f aca="false">SUMPRODUCT(D42:D44,F42:F44)</f>
        <v>-1.54480207705734</v>
      </c>
    </row>
    <row r="56" customFormat="false" ht="15" hidden="false" customHeight="false" outlineLevel="0" collapsed="false">
      <c r="A56" s="14" t="s">
        <v>302</v>
      </c>
      <c r="B56" s="15" t="n">
        <f aca="false">-1/B54</f>
        <v>-1.19924869156889</v>
      </c>
    </row>
    <row r="57" customFormat="false" ht="15" hidden="false" customHeight="false" outlineLevel="0" collapsed="false">
      <c r="A57" s="14" t="s">
        <v>303</v>
      </c>
      <c r="B57" s="15" t="n">
        <f aca="false">$B$7*B62/(1+$B$7*B62)</f>
        <v>0</v>
      </c>
    </row>
    <row r="58" customFormat="false" ht="15" hidden="false" customHeight="false" outlineLevel="0" collapsed="false">
      <c r="A58" s="14" t="s">
        <v>304</v>
      </c>
      <c r="B58" s="15" t="n">
        <f aca="false">$B$8*B62/(1+$B$8*B62)</f>
        <v>0.0400240563287737</v>
      </c>
    </row>
    <row r="59" customFormat="false" ht="15" hidden="false" customHeight="false" outlineLevel="0" collapsed="false">
      <c r="A59" s="14" t="s">
        <v>305</v>
      </c>
      <c r="B59" s="15" t="n">
        <f aca="false">SUM(M42:M44)</f>
        <v>0.0400240563287737</v>
      </c>
    </row>
    <row r="60" customFormat="false" ht="15" hidden="false" customHeight="false" outlineLevel="0" collapsed="false">
      <c r="A60" s="14" t="s">
        <v>306</v>
      </c>
      <c r="B60" s="24" t="n">
        <f aca="false">SUMPRODUCT(--(E49:E49&lt;&gt;""),C49:C49)</f>
        <v>0</v>
      </c>
    </row>
    <row r="61" customFormat="false" ht="15" hidden="false" customHeight="false" outlineLevel="0" collapsed="false">
      <c r="A61" s="14" t="s">
        <v>307</v>
      </c>
      <c r="B61" s="15" t="str">
        <f aca="false">IF(B60=0,"",SUM(H49:H49))</f>
        <v/>
      </c>
    </row>
    <row r="62" customFormat="false" ht="15" hidden="false" customHeight="false" outlineLevel="0" collapsed="false">
      <c r="A62" s="14" t="s">
        <v>308</v>
      </c>
      <c r="B62" s="24" t="n">
        <f aca="false">SUM(J49:J49)+IF(B60=0,0,B60/ABS(B61))</f>
        <v>0.833855402161644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6" min="9" style="0" width="10"/>
    <col collapsed="false" customWidth="true" hidden="false" outlineLevel="0" max="22" min="17" style="0" width="12"/>
    <col collapsed="false" customWidth="true" hidden="false" outlineLevel="0" max="23" min="23" style="0" width="40"/>
  </cols>
  <sheetData>
    <row r="1" customFormat="false" ht="17.35" hidden="false" customHeight="false" outlineLevel="0" collapsed="false">
      <c r="A1" s="4" t="s">
        <v>571</v>
      </c>
    </row>
    <row r="2" customFormat="false" ht="15" hidden="false" customHeight="false" outlineLevel="0" collapsed="false">
      <c r="A2" s="5" t="s">
        <v>572</v>
      </c>
    </row>
    <row r="3" customFormat="false" ht="15" hidden="false" customHeight="false" outlineLevel="0" collapsed="false">
      <c r="A3" s="5" t="s">
        <v>573</v>
      </c>
    </row>
    <row r="4" customFormat="false" ht="15" hidden="false" customHeight="false" outlineLevel="0" collapsed="false">
      <c r="A4" s="5" t="s">
        <v>574</v>
      </c>
    </row>
    <row r="5" customFormat="false" ht="15" hidden="false" customHeight="false" outlineLevel="0" collapsed="false">
      <c r="A5" s="5" t="s">
        <v>575</v>
      </c>
    </row>
    <row r="7" customFormat="false" ht="15" hidden="false" customHeight="false" outlineLevel="0" collapsed="false">
      <c r="A7" s="14" t="s">
        <v>123</v>
      </c>
      <c r="B7" s="10" t="n">
        <f aca="false">Assumptions!$C$14</f>
        <v>0.1</v>
      </c>
    </row>
    <row r="8" customFormat="false" ht="15" hidden="false" customHeight="false" outlineLevel="0" collapsed="false">
      <c r="A8" s="14" t="s">
        <v>124</v>
      </c>
      <c r="B8" s="10" t="n">
        <f aca="false">Assumptions!$D$14</f>
        <v>0.8</v>
      </c>
    </row>
    <row r="9" customFormat="false" ht="15" hidden="false" customHeight="false" outlineLevel="0" collapsed="false">
      <c r="A9" s="14" t="s">
        <v>125</v>
      </c>
      <c r="B9" s="8" t="n">
        <f aca="false">Assumptions!$C$4</f>
        <v>-0.1</v>
      </c>
    </row>
    <row r="11" customFormat="false" ht="15" hidden="false" customHeight="false" outlineLevel="0" collapsed="false">
      <c r="A11" s="18" t="s">
        <v>576</v>
      </c>
    </row>
    <row r="12" customFormat="false" ht="26.85" hidden="false" customHeight="false" outlineLevel="0" collapsed="false">
      <c r="A12" s="6" t="s">
        <v>128</v>
      </c>
      <c r="B12" s="6" t="s">
        <v>204</v>
      </c>
      <c r="C12" s="6" t="s">
        <v>132</v>
      </c>
      <c r="D12" s="6" t="s">
        <v>133</v>
      </c>
    </row>
    <row r="13" customFormat="false" ht="15" hidden="false" customHeight="false" outlineLevel="0" collapsed="false">
      <c r="A13" s="5" t="s">
        <v>577</v>
      </c>
      <c r="B13" s="21" t="n">
        <v>75</v>
      </c>
      <c r="C13" s="5" t="s">
        <v>578</v>
      </c>
      <c r="D13" s="5" t="s">
        <v>579</v>
      </c>
    </row>
    <row r="14" customFormat="false" ht="15" hidden="false" customHeight="false" outlineLevel="0" collapsed="false">
      <c r="A14" s="5" t="s">
        <v>580</v>
      </c>
      <c r="B14" s="21" t="n">
        <v>0.33</v>
      </c>
      <c r="C14" s="5" t="s">
        <v>581</v>
      </c>
      <c r="D14" s="5" t="s">
        <v>582</v>
      </c>
    </row>
    <row r="15" customFormat="false" ht="15" hidden="false" customHeight="false" outlineLevel="0" collapsed="false">
      <c r="A15" s="5" t="s">
        <v>583</v>
      </c>
      <c r="B15" s="21" t="n">
        <v>7</v>
      </c>
      <c r="C15" s="5" t="s">
        <v>578</v>
      </c>
      <c r="D15" s="5" t="s">
        <v>584</v>
      </c>
    </row>
    <row r="17" customFormat="false" ht="15" hidden="false" customHeight="false" outlineLevel="0" collapsed="false">
      <c r="A17" s="18" t="s">
        <v>196</v>
      </c>
    </row>
    <row r="18" customFormat="false" ht="72" hidden="false" customHeight="true" outlineLevel="0" collapsed="false">
      <c r="A18" s="6" t="s">
        <v>197</v>
      </c>
      <c r="B18" s="6" t="s">
        <v>198</v>
      </c>
      <c r="C18" s="6" t="s">
        <v>199</v>
      </c>
      <c r="D18" s="6" t="s">
        <v>200</v>
      </c>
      <c r="E18" s="6" t="s">
        <v>201</v>
      </c>
      <c r="F18" s="6" t="s">
        <v>202</v>
      </c>
      <c r="G18" s="6" t="s">
        <v>203</v>
      </c>
      <c r="H18" s="6" t="s">
        <v>204</v>
      </c>
      <c r="I18" s="6" t="s">
        <v>27</v>
      </c>
      <c r="J18" s="6" t="s">
        <v>205</v>
      </c>
      <c r="K18" s="6" t="s">
        <v>206</v>
      </c>
      <c r="L18" s="6" t="s">
        <v>29</v>
      </c>
      <c r="M18" s="6" t="s">
        <v>30</v>
      </c>
      <c r="N18" s="6" t="s">
        <v>207</v>
      </c>
      <c r="O18" s="6" t="s">
        <v>208</v>
      </c>
      <c r="P18" s="6" t="s">
        <v>209</v>
      </c>
      <c r="Q18" s="6" t="s">
        <v>210</v>
      </c>
      <c r="R18" s="6" t="s">
        <v>211</v>
      </c>
      <c r="S18" s="6" t="s">
        <v>212</v>
      </c>
      <c r="T18" s="6" t="s">
        <v>213</v>
      </c>
      <c r="U18" s="6" t="s">
        <v>214</v>
      </c>
      <c r="V18" s="6" t="s">
        <v>215</v>
      </c>
      <c r="W18" s="6" t="s">
        <v>133</v>
      </c>
    </row>
    <row r="19" customFormat="false" ht="15" hidden="false" customHeight="false" outlineLevel="0" collapsed="false">
      <c r="A19" s="2" t="s">
        <v>585</v>
      </c>
      <c r="B19" s="5" t="s">
        <v>586</v>
      </c>
      <c r="C19" s="5" t="s">
        <v>560</v>
      </c>
      <c r="D19" s="20" t="n">
        <f aca="false">1</f>
        <v>1</v>
      </c>
      <c r="E19" s="5"/>
      <c r="F19" s="22" t="n">
        <f aca="false">$B$13</f>
        <v>75</v>
      </c>
      <c r="G19" s="5"/>
      <c r="H19" s="20" t="n">
        <f aca="false">D19*F19</f>
        <v>75</v>
      </c>
      <c r="I19" s="11" t="n">
        <f aca="false">H19/$H$21</f>
        <v>0.97012029491657</v>
      </c>
      <c r="J19" s="23" t="n">
        <v>0.2</v>
      </c>
      <c r="K19" s="15" t="n">
        <f aca="false">IF(SUMIF($B$19:$B$20,B19,$H$19:$H$20)=0,0,H19/SUMIF($B$19:$B$20,B19,$H$19:$H$20))</f>
        <v>1</v>
      </c>
      <c r="L19" s="24" t="n">
        <f aca="false">K19*INDEX($L$25:$L$26,MATCH(B19,$A$25:$A$26,0))</f>
        <v>0.0883527513046756</v>
      </c>
      <c r="M19" s="24" t="n">
        <f aca="false">K19*INDEX($M$25:$M$26,MATCH(B19,$A$25:$A$26,0))</f>
        <v>0.43501587807955</v>
      </c>
      <c r="N19" s="24" t="n">
        <f aca="false">K19*INDEX($N$25:$N$26,MATCH(B19,$A$25:$A$26,0))</f>
        <v>0.989837666622674</v>
      </c>
      <c r="O19" s="24" t="n">
        <f aca="false">K19*INDEX($O$25:$O$26,MATCH(B19,$A$25:$A$26,0))</f>
        <v>0.43501587807955</v>
      </c>
      <c r="P19" s="24" t="n">
        <f aca="false">K19*INDEX($P$25:$P$26,MATCH(B19,$A$25:$A$26,0))</f>
        <v>0.417310019613571</v>
      </c>
      <c r="Q19" s="11" t="n">
        <f aca="false">INDEX($Q$25:$Q$26,MATCH(B19,$A$25:$A$26,0))*K19*$B$9</f>
        <v>-0.056498412192045</v>
      </c>
      <c r="R19" s="25" t="n">
        <f aca="false">INDEX($R$25:$R$26,MATCH(B19,$A$25:$A$26,0))*K19*$B$9</f>
        <v>-0.0543769847599437</v>
      </c>
      <c r="S19" s="11" t="str">
        <f aca="false">IF(INDEX($S$25:$S$26,MATCH(B19,$A$25:$A$26,0))="","no external floor",INDEX($S$25:$S$26,MATCH(B19,$A$25:$A$26,0))/K19)</f>
        <v>no external floor</v>
      </c>
      <c r="T19" s="25" t="n">
        <f aca="false">INDEX($M$25:$M$26,MATCH(B19,$A$25:$A$26,0))*IF(INDEX($S$25:$S$26,MATCH(B19,$A$25:$A$26,0))="",-K19,MAX(-K19,INDEX($S$25:$S$26,MATCH(B19,$A$25:$A$26,0))))</f>
        <v>-0.43501587807955</v>
      </c>
      <c r="U19" s="22" t="n">
        <f aca="false">IF(D19=0,"",M19/D19*1)</f>
        <v>0.43501587807955</v>
      </c>
      <c r="V19" s="22" t="n">
        <f aca="false">IF(OR(J19="",J19=0),"",U19/J19)</f>
        <v>2.17507939039775</v>
      </c>
      <c r="W19" s="2" t="s">
        <v>587</v>
      </c>
    </row>
    <row r="20" customFormat="false" ht="23.85" hidden="false" customHeight="false" outlineLevel="0" collapsed="false">
      <c r="A20" s="2" t="s">
        <v>588</v>
      </c>
      <c r="B20" s="5" t="s">
        <v>589</v>
      </c>
      <c r="C20" s="5" t="s">
        <v>560</v>
      </c>
      <c r="D20" s="20" t="n">
        <f aca="false">$B$14</f>
        <v>0.33</v>
      </c>
      <c r="E20" s="5"/>
      <c r="F20" s="22" t="n">
        <f aca="false">$B$15</f>
        <v>7</v>
      </c>
      <c r="G20" s="5"/>
      <c r="H20" s="20" t="n">
        <f aca="false">D20*F20</f>
        <v>2.31</v>
      </c>
      <c r="I20" s="11" t="n">
        <f aca="false">H20/$H$21</f>
        <v>0.0298797050834303</v>
      </c>
      <c r="J20" s="23"/>
      <c r="K20" s="15" t="n">
        <f aca="false">IF(SUMIF($B$19:$B$20,B20,$H$19:$H$20)=0,0,H20/SUMIF($B$19:$B$20,B20,$H$19:$H$20))</f>
        <v>1</v>
      </c>
      <c r="L20" s="24" t="n">
        <f aca="false">K20*INDEX($L$25:$L$26,MATCH(B20,$A$25:$A$26,0))</f>
        <v>0.000907088246728003</v>
      </c>
      <c r="M20" s="24" t="n">
        <f aca="false">K20*INDEX($M$25:$M$26,MATCH(B20,$A$25:$A$26,0))</f>
        <v>0.00446616301495005</v>
      </c>
      <c r="N20" s="24" t="n">
        <f aca="false">K20*INDEX($N$25:$N$26,MATCH(B20,$A$25:$A$26,0))</f>
        <v>0.0101623333773261</v>
      </c>
      <c r="O20" s="24" t="n">
        <f aca="false">K20*INDEX($O$25:$O$26,MATCH(B20,$A$25:$A$26,0))</f>
        <v>0.00446616301495005</v>
      </c>
      <c r="P20" s="24" t="n">
        <f aca="false">K20*INDEX($P$25:$P$26,MATCH(B20,$A$25:$A$26,0))</f>
        <v>0.012853148604098</v>
      </c>
      <c r="Q20" s="11" t="n">
        <f aca="false">INDEX($Q$25:$Q$26,MATCH(B20,$A$25:$A$26,0))*K20*$B$9</f>
        <v>-0.033184461232835</v>
      </c>
      <c r="R20" s="25" t="n">
        <f aca="false">INDEX($R$25:$R$26,MATCH(B20,$A$25:$A$26,0))*K20*$B$9</f>
        <v>-0.000558270376868756</v>
      </c>
      <c r="S20" s="11" t="n">
        <f aca="false">IF(INDEX($S$25:$S$26,MATCH(B20,$A$25:$A$26,0))="","no external floor",INDEX($S$25:$S$26,MATCH(B20,$A$25:$A$26,0))/K20)</f>
        <v>-0.973433976671883</v>
      </c>
      <c r="T20" s="25" t="n">
        <f aca="false">INDEX($M$25:$M$26,MATCH(B20,$A$25:$A$26,0))*IF(INDEX($S$25:$S$26,MATCH(B20,$A$25:$A$26,0))="",-K20,MAX(-K20,INDEX($S$25:$S$26,MATCH(B20,$A$25:$A$26,0))))</f>
        <v>-0.00434751482410771</v>
      </c>
      <c r="U20" s="22" t="n">
        <f aca="false">IF(D20=0,"",M20/D20*1)</f>
        <v>0.0135338273180304</v>
      </c>
      <c r="V20" s="22" t="str">
        <f aca="false">IF(OR(J20="",J20=0),"",U20/J20)</f>
        <v/>
      </c>
      <c r="W20" s="2" t="s">
        <v>590</v>
      </c>
    </row>
    <row r="21" customFormat="false" ht="15" hidden="false" customHeight="false" outlineLevel="0" collapsed="false">
      <c r="A21" s="14" t="s">
        <v>252</v>
      </c>
      <c r="H21" s="26" t="n">
        <f aca="false">SUM(H19:H20)</f>
        <v>77.31</v>
      </c>
      <c r="I21" s="27" t="n">
        <f aca="false">SUM(I19:I20)</f>
        <v>1</v>
      </c>
    </row>
    <row r="22" customFormat="false" ht="15" hidden="false" customHeight="false" outlineLevel="0" collapsed="false">
      <c r="A22" s="5" t="s">
        <v>591</v>
      </c>
    </row>
    <row r="24" customFormat="false" ht="72" hidden="false" customHeight="true" outlineLevel="0" collapsed="false">
      <c r="A24" s="6" t="s">
        <v>254</v>
      </c>
      <c r="B24" s="6" t="s">
        <v>255</v>
      </c>
      <c r="C24" s="6" t="s">
        <v>256</v>
      </c>
      <c r="D24" s="6" t="s">
        <v>27</v>
      </c>
      <c r="E24" s="6" t="s">
        <v>257</v>
      </c>
      <c r="F24" s="6" t="s">
        <v>258</v>
      </c>
      <c r="G24" s="6" t="s">
        <v>259</v>
      </c>
      <c r="H24" s="6" t="s">
        <v>260</v>
      </c>
      <c r="I24" s="6" t="s">
        <v>261</v>
      </c>
      <c r="J24" s="6" t="s">
        <v>262</v>
      </c>
      <c r="K24" s="6" t="s">
        <v>263</v>
      </c>
      <c r="L24" s="6" t="s">
        <v>264</v>
      </c>
      <c r="M24" s="6" t="s">
        <v>265</v>
      </c>
      <c r="N24" s="6" t="s">
        <v>266</v>
      </c>
      <c r="O24" s="6" t="s">
        <v>267</v>
      </c>
      <c r="P24" s="6" t="s">
        <v>268</v>
      </c>
      <c r="Q24" s="6" t="s">
        <v>269</v>
      </c>
      <c r="R24" s="6" t="s">
        <v>270</v>
      </c>
      <c r="S24" s="6" t="s">
        <v>271</v>
      </c>
      <c r="T24" s="6" t="s">
        <v>272</v>
      </c>
      <c r="U24" s="6" t="s">
        <v>273</v>
      </c>
    </row>
    <row r="25" customFormat="false" ht="35.05" hidden="false" customHeight="false" outlineLevel="0" collapsed="false">
      <c r="A25" s="5" t="s">
        <v>586</v>
      </c>
      <c r="B25" s="5" t="s">
        <v>560</v>
      </c>
      <c r="C25" s="20" t="n">
        <f aca="false">SUMIF($B$19:$B$20,A25,$H$19:$H$20)</f>
        <v>75</v>
      </c>
      <c r="D25" s="11" t="n">
        <f aca="false">C25/$H$21</f>
        <v>0.97012029491657</v>
      </c>
      <c r="E25" s="11" t="n">
        <f aca="false">C25/SUMIF($B$25:$B$26,B25,$C$25:$C$26)</f>
        <v>0.97012029491657</v>
      </c>
      <c r="F25" s="28" t="n">
        <v>-1</v>
      </c>
      <c r="G25" s="23"/>
      <c r="H25" s="2"/>
      <c r="I25" s="15" t="n">
        <f aca="false">E25/ABS(F25)</f>
        <v>0.97012029491657</v>
      </c>
      <c r="J25" s="15" t="n">
        <f aca="false">INDEX($G$31:$G$31,MATCH(B25,$A$31:$A$31,0))</f>
        <v>-1.02032466675465</v>
      </c>
      <c r="K25" s="24" t="n">
        <f aca="false">INDEX($I$31:$I$31,MATCH(B25,$A$31:$A$31,0))</f>
        <v>1</v>
      </c>
      <c r="L25" s="24" t="n">
        <f aca="false">$B$7*K25*I25/(1+$B$7*$B$44)</f>
        <v>0.0883527513046756</v>
      </c>
      <c r="M25" s="24" t="n">
        <f aca="false">$B$8*K25*I25/(1+$B$8*$B$44)</f>
        <v>0.43501587807955</v>
      </c>
      <c r="N25" s="24" t="n">
        <f aca="false">K25*I25/$B$44</f>
        <v>0.989837666622674</v>
      </c>
      <c r="O25" s="24" t="n">
        <f aca="false">$B$8*(D25/ABS(F25))/(1+$B$8*$B$36)</f>
        <v>0.43501587807955</v>
      </c>
      <c r="P25" s="24" t="n">
        <f aca="false">$B$8*D25/($B$8+ABS($B$37))</f>
        <v>0.417310019613571</v>
      </c>
      <c r="Q25" s="24" t="n">
        <f aca="false">IF(T25="",(M25-1)/F25,((J25*((M25-T25*ABS(J25)*I25)/$B$43)+ABS(J25)*I25)-1)/F25)</f>
        <v>0.56498412192045</v>
      </c>
      <c r="R25" s="24" t="n">
        <f aca="false">M25/$B$8</f>
        <v>0.543769847599437</v>
      </c>
      <c r="S25" s="11" t="str">
        <f aca="false">IF(OR(G25="",G25&lt;=0,G25&gt;=1),"",EXP(LN(G25)/Q25)-1)</f>
        <v/>
      </c>
      <c r="T25" s="15" t="str">
        <f aca="false">INDEX($E$31:$E$31,MATCH(B25,$A$31:$A$31,0))</f>
        <v/>
      </c>
      <c r="U25" s="2" t="s">
        <v>592</v>
      </c>
    </row>
    <row r="26" customFormat="false" ht="23.85" hidden="false" customHeight="false" outlineLevel="0" collapsed="false">
      <c r="A26" s="5" t="s">
        <v>589</v>
      </c>
      <c r="B26" s="5" t="s">
        <v>560</v>
      </c>
      <c r="C26" s="20" t="n">
        <f aca="false">SUMIF($B$19:$B$20,A26,$H$19:$H$20)</f>
        <v>2.31</v>
      </c>
      <c r="D26" s="11" t="n">
        <f aca="false">C26/$H$21</f>
        <v>0.0298797050834303</v>
      </c>
      <c r="E26" s="11" t="n">
        <f aca="false">C26/SUMIF($B$25:$B$26,B26,$C$25:$C$26)</f>
        <v>0.0298797050834303</v>
      </c>
      <c r="F26" s="28" t="n">
        <v>-3</v>
      </c>
      <c r="G26" s="23" t="n">
        <v>0.3</v>
      </c>
      <c r="H26" s="2" t="s">
        <v>593</v>
      </c>
      <c r="I26" s="15" t="n">
        <f aca="false">E26/ABS(F26)</f>
        <v>0.00995990169447678</v>
      </c>
      <c r="J26" s="15" t="n">
        <f aca="false">INDEX($G$31:$G$31,MATCH(B26,$A$31:$A$31,0))</f>
        <v>-1.02032466675465</v>
      </c>
      <c r="K26" s="24" t="n">
        <f aca="false">INDEX($I$31:$I$31,MATCH(B26,$A$31:$A$31,0))</f>
        <v>1</v>
      </c>
      <c r="L26" s="24" t="n">
        <f aca="false">$B$7*K26*I26/(1+$B$7*$B$44)</f>
        <v>0.000907088246728003</v>
      </c>
      <c r="M26" s="24" t="n">
        <f aca="false">$B$8*K26*I26/(1+$B$8*$B$44)</f>
        <v>0.00446616301495005</v>
      </c>
      <c r="N26" s="24" t="n">
        <f aca="false">K26*I26/$B$44</f>
        <v>0.0101623333773261</v>
      </c>
      <c r="O26" s="24" t="n">
        <f aca="false">$B$8*(D26/ABS(F26))/(1+$B$8*$B$36)</f>
        <v>0.00446616301495005</v>
      </c>
      <c r="P26" s="24" t="n">
        <f aca="false">$B$8*D26/($B$8+ABS($B$37))</f>
        <v>0.012853148604098</v>
      </c>
      <c r="Q26" s="24" t="n">
        <f aca="false">IF(T26="",(M26-1)/F26,((J26*((M26-T26*ABS(J26)*I26)/$B$43)+ABS(J26)*I26)-1)/F26)</f>
        <v>0.33184461232835</v>
      </c>
      <c r="R26" s="24" t="n">
        <f aca="false">M26/$B$8</f>
        <v>0.00558270376868756</v>
      </c>
      <c r="S26" s="11" t="n">
        <f aca="false">IF(OR(G26="",G26&lt;=0,G26&gt;=1),"",EXP(LN(G26)/Q26)-1)</f>
        <v>-0.973433976671883</v>
      </c>
      <c r="T26" s="15" t="str">
        <f aca="false">INDEX($E$31:$E$31,MATCH(B26,$A$31:$A$31,0))</f>
        <v/>
      </c>
      <c r="U26" s="2" t="s">
        <v>186</v>
      </c>
    </row>
    <row r="30" customFormat="false" ht="72" hidden="false" customHeight="true" outlineLevel="0" collapsed="false">
      <c r="A30" s="6" t="s">
        <v>255</v>
      </c>
      <c r="B30" s="6" t="s">
        <v>288</v>
      </c>
      <c r="C30" s="6" t="s">
        <v>289</v>
      </c>
      <c r="D30" s="6" t="s">
        <v>290</v>
      </c>
      <c r="E30" s="6" t="s">
        <v>291</v>
      </c>
      <c r="F30" s="6" t="s">
        <v>292</v>
      </c>
      <c r="G30" s="6" t="s">
        <v>293</v>
      </c>
      <c r="H30" s="6" t="s">
        <v>294</v>
      </c>
      <c r="I30" s="6" t="s">
        <v>295</v>
      </c>
      <c r="J30" s="6" t="s">
        <v>296</v>
      </c>
    </row>
    <row r="31" customFormat="false" ht="15" hidden="false" customHeight="false" outlineLevel="0" collapsed="false">
      <c r="A31" s="5" t="s">
        <v>560</v>
      </c>
      <c r="B31" s="20" t="n">
        <f aca="false">SUMIF($C$19:$C$20,A31,$H$19:$H$20)</f>
        <v>77.31</v>
      </c>
      <c r="C31" s="11" t="n">
        <f aca="false">B31/$H$21</f>
        <v>1</v>
      </c>
      <c r="D31" s="13"/>
      <c r="E31" s="15" t="str">
        <f aca="false">IF(D31="","",D31/SUM($D$31:$D$31))</f>
        <v/>
      </c>
      <c r="F31" s="15" t="n">
        <f aca="false">SUMIF($B$25:$B$26,A31,$I$25:$I$26)</f>
        <v>0.980080196611046</v>
      </c>
      <c r="G31" s="15" t="n">
        <f aca="false">-1/F31</f>
        <v>-1.02032466675465</v>
      </c>
      <c r="H31" s="15" t="str">
        <f aca="false">IF(E31="","",E31*G31)</f>
        <v/>
      </c>
      <c r="I31" s="24" t="n">
        <f aca="false">IF(E31="",C31,($B$42/ABS($B$43))*E31*ABS(G31))</f>
        <v>1</v>
      </c>
      <c r="J31" s="24" t="n">
        <f aca="false">IF(E31="",C31/ABS(G31),"")</f>
        <v>0.980080196611046</v>
      </c>
    </row>
    <row r="33" customFormat="false" ht="15" hidden="false" customHeight="false" outlineLevel="0" collapsed="false">
      <c r="A33" s="18" t="s">
        <v>297</v>
      </c>
    </row>
    <row r="34" customFormat="false" ht="15" hidden="false" customHeight="false" outlineLevel="0" collapsed="false">
      <c r="A34" s="14" t="s">
        <v>298</v>
      </c>
      <c r="B34" s="20" t="n">
        <f aca="false">$H$21</f>
        <v>77.31</v>
      </c>
    </row>
    <row r="35" customFormat="false" ht="15" hidden="false" customHeight="false" outlineLevel="0" collapsed="false">
      <c r="A35" s="14" t="s">
        <v>299</v>
      </c>
      <c r="B35" s="15" t="n">
        <f aca="false">-1/B44</f>
        <v>-1.02032466675465</v>
      </c>
    </row>
    <row r="36" customFormat="false" ht="15" hidden="false" customHeight="false" outlineLevel="0" collapsed="false">
      <c r="A36" s="14" t="s">
        <v>300</v>
      </c>
      <c r="B36" s="15" t="n">
        <f aca="false">SUMPRODUCT(D25:D26/ABS(F25:F26))</f>
        <v>0.980080196611046</v>
      </c>
    </row>
    <row r="37" customFormat="false" ht="15" hidden="false" customHeight="false" outlineLevel="0" collapsed="false">
      <c r="A37" s="14" t="s">
        <v>301</v>
      </c>
      <c r="B37" s="15" t="n">
        <f aca="false">SUMPRODUCT(D25:D26,F25:F26)</f>
        <v>-1.05975941016686</v>
      </c>
    </row>
    <row r="38" customFormat="false" ht="15" hidden="false" customHeight="false" outlineLevel="0" collapsed="false">
      <c r="A38" s="14" t="s">
        <v>302</v>
      </c>
      <c r="B38" s="15" t="n">
        <f aca="false">-1/B36</f>
        <v>-1.02032466675465</v>
      </c>
    </row>
    <row r="39" customFormat="false" ht="15" hidden="false" customHeight="false" outlineLevel="0" collapsed="false">
      <c r="A39" s="14" t="s">
        <v>303</v>
      </c>
      <c r="B39" s="15" t="n">
        <f aca="false">$B$7*B44/(1+$B$7*B44)</f>
        <v>0.0892598395514036</v>
      </c>
    </row>
    <row r="40" customFormat="false" ht="15" hidden="false" customHeight="false" outlineLevel="0" collapsed="false">
      <c r="A40" s="14" t="s">
        <v>304</v>
      </c>
      <c r="B40" s="15" t="n">
        <f aca="false">$B$8*B44/(1+$B$8*B44)</f>
        <v>0.4394820410945</v>
      </c>
    </row>
    <row r="41" customFormat="false" ht="15" hidden="false" customHeight="false" outlineLevel="0" collapsed="false">
      <c r="A41" s="14" t="s">
        <v>305</v>
      </c>
      <c r="B41" s="15" t="n">
        <f aca="false">SUM(M25:M26)</f>
        <v>0.4394820410945</v>
      </c>
    </row>
    <row r="42" customFormat="false" ht="15" hidden="false" customHeight="false" outlineLevel="0" collapsed="false">
      <c r="A42" s="14" t="s">
        <v>306</v>
      </c>
      <c r="B42" s="24" t="n">
        <f aca="false">SUMPRODUCT(--(E31:E31&lt;&gt;""),C31:C31)</f>
        <v>0</v>
      </c>
    </row>
    <row r="43" customFormat="false" ht="15" hidden="false" customHeight="false" outlineLevel="0" collapsed="false">
      <c r="A43" s="14" t="s">
        <v>307</v>
      </c>
      <c r="B43" s="15" t="str">
        <f aca="false">IF(B42=0,"",SUM(H31:H31))</f>
        <v/>
      </c>
    </row>
    <row r="44" customFormat="false" ht="15" hidden="false" customHeight="false" outlineLevel="0" collapsed="false">
      <c r="A44" s="14" t="s">
        <v>308</v>
      </c>
      <c r="B44" s="24" t="n">
        <f aca="false">SUM(J31:J31)+IF(B42=0,0,B42/ABS(B43))</f>
        <v>0.980080196611046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9"/>
  </cols>
  <sheetData>
    <row r="1" customFormat="false" ht="17.35" hidden="false" customHeight="false" outlineLevel="0" collapsed="false">
      <c r="A1" s="4" t="s">
        <v>594</v>
      </c>
    </row>
    <row r="2" customFormat="false" ht="15" hidden="false" customHeight="false" outlineLevel="0" collapsed="false">
      <c r="A2" s="5" t="s">
        <v>595</v>
      </c>
    </row>
    <row r="4" customFormat="false" ht="15" hidden="false" customHeight="false" outlineLevel="0" collapsed="false">
      <c r="A4" s="14" t="s">
        <v>596</v>
      </c>
      <c r="B4" s="28" t="n">
        <v>-0.1</v>
      </c>
      <c r="C4" s="28" t="n">
        <v>-0.2</v>
      </c>
      <c r="D4" s="28" t="n">
        <v>-0.3</v>
      </c>
      <c r="E4" s="28" t="n">
        <v>-0.4</v>
      </c>
      <c r="F4" s="28" t="n">
        <v>-0.5</v>
      </c>
      <c r="G4" s="28" t="n">
        <v>-0.6</v>
      </c>
      <c r="H4" s="28" t="n">
        <v>-0.75</v>
      </c>
      <c r="I4" s="28" t="n">
        <v>-0.9</v>
      </c>
      <c r="J4" s="28" t="n">
        <v>-1</v>
      </c>
      <c r="K4" s="28" t="n">
        <v>-1.5</v>
      </c>
      <c r="L4" s="28" t="n">
        <v>-2</v>
      </c>
      <c r="M4" s="28" t="n">
        <v>-3</v>
      </c>
    </row>
    <row r="5" customFormat="false" ht="15" hidden="false" customHeight="false" outlineLevel="0" collapsed="false">
      <c r="A5" s="28" t="n">
        <v>0.02</v>
      </c>
      <c r="B5" s="15" t="n">
        <f aca="false">$A5/($A5+ABS(B$4))</f>
        <v>0.166666666666667</v>
      </c>
      <c r="C5" s="15" t="n">
        <f aca="false">$A5/($A5+ABS(C$4))</f>
        <v>0.0909090909090909</v>
      </c>
      <c r="D5" s="15" t="n">
        <f aca="false">$A5/($A5+ABS(D$4))</f>
        <v>0.0625</v>
      </c>
      <c r="E5" s="15" t="n">
        <f aca="false">$A5/($A5+ABS(E$4))</f>
        <v>0.0476190476190476</v>
      </c>
      <c r="F5" s="15" t="n">
        <f aca="false">$A5/($A5+ABS(F$4))</f>
        <v>0.0384615384615385</v>
      </c>
      <c r="G5" s="15" t="n">
        <f aca="false">$A5/($A5+ABS(G$4))</f>
        <v>0.032258064516129</v>
      </c>
      <c r="H5" s="15" t="n">
        <f aca="false">$A5/($A5+ABS(H$4))</f>
        <v>0.025974025974026</v>
      </c>
      <c r="I5" s="15" t="n">
        <f aca="false">$A5/($A5+ABS(I$4))</f>
        <v>0.0217391304347826</v>
      </c>
      <c r="J5" s="15" t="n">
        <f aca="false">$A5/($A5+ABS(J$4))</f>
        <v>0.0196078431372549</v>
      </c>
      <c r="K5" s="15" t="n">
        <f aca="false">$A5/($A5+ABS(K$4))</f>
        <v>0.0131578947368421</v>
      </c>
      <c r="L5" s="15" t="n">
        <f aca="false">$A5/($A5+ABS(L$4))</f>
        <v>0.0099009900990099</v>
      </c>
      <c r="M5" s="15" t="n">
        <f aca="false">$A5/($A5+ABS(M$4))</f>
        <v>0.00662251655629139</v>
      </c>
    </row>
    <row r="6" customFormat="false" ht="15" hidden="false" customHeight="false" outlineLevel="0" collapsed="false">
      <c r="A6" s="28" t="n">
        <v>0.05</v>
      </c>
      <c r="B6" s="15" t="n">
        <f aca="false">$A6/($A6+ABS(B$4))</f>
        <v>0.333333333333333</v>
      </c>
      <c r="C6" s="15" t="n">
        <f aca="false">$A6/($A6+ABS(C$4))</f>
        <v>0.2</v>
      </c>
      <c r="D6" s="15" t="n">
        <f aca="false">$A6/($A6+ABS(D$4))</f>
        <v>0.142857142857143</v>
      </c>
      <c r="E6" s="15" t="n">
        <f aca="false">$A6/($A6+ABS(E$4))</f>
        <v>0.111111111111111</v>
      </c>
      <c r="F6" s="15" t="n">
        <f aca="false">$A6/($A6+ABS(F$4))</f>
        <v>0.0909090909090909</v>
      </c>
      <c r="G6" s="15" t="n">
        <f aca="false">$A6/($A6+ABS(G$4))</f>
        <v>0.0769230769230769</v>
      </c>
      <c r="H6" s="15" t="n">
        <f aca="false">$A6/($A6+ABS(H$4))</f>
        <v>0.0625</v>
      </c>
      <c r="I6" s="15" t="n">
        <f aca="false">$A6/($A6+ABS(I$4))</f>
        <v>0.0526315789473684</v>
      </c>
      <c r="J6" s="15" t="n">
        <f aca="false">$A6/($A6+ABS(J$4))</f>
        <v>0.0476190476190476</v>
      </c>
      <c r="K6" s="15" t="n">
        <f aca="false">$A6/($A6+ABS(K$4))</f>
        <v>0.032258064516129</v>
      </c>
      <c r="L6" s="15" t="n">
        <f aca="false">$A6/($A6+ABS(L$4))</f>
        <v>0.024390243902439</v>
      </c>
      <c r="M6" s="15" t="n">
        <f aca="false">$A6/($A6+ABS(M$4))</f>
        <v>0.0163934426229508</v>
      </c>
    </row>
    <row r="7" customFormat="false" ht="15" hidden="false" customHeight="false" outlineLevel="0" collapsed="false">
      <c r="A7" s="28" t="n">
        <v>0.1</v>
      </c>
      <c r="B7" s="15" t="n">
        <f aca="false">$A7/($A7+ABS(B$4))</f>
        <v>0.5</v>
      </c>
      <c r="C7" s="15" t="n">
        <f aca="false">$A7/($A7+ABS(C$4))</f>
        <v>0.333333333333333</v>
      </c>
      <c r="D7" s="15" t="n">
        <f aca="false">$A7/($A7+ABS(D$4))</f>
        <v>0.25</v>
      </c>
      <c r="E7" s="15" t="n">
        <f aca="false">$A7/($A7+ABS(E$4))</f>
        <v>0.2</v>
      </c>
      <c r="F7" s="15" t="n">
        <f aca="false">$A7/($A7+ABS(F$4))</f>
        <v>0.166666666666667</v>
      </c>
      <c r="G7" s="15" t="n">
        <f aca="false">$A7/($A7+ABS(G$4))</f>
        <v>0.142857142857143</v>
      </c>
      <c r="H7" s="15" t="n">
        <f aca="false">$A7/($A7+ABS(H$4))</f>
        <v>0.117647058823529</v>
      </c>
      <c r="I7" s="15" t="n">
        <f aca="false">$A7/($A7+ABS(I$4))</f>
        <v>0.1</v>
      </c>
      <c r="J7" s="15" t="n">
        <f aca="false">$A7/($A7+ABS(J$4))</f>
        <v>0.0909090909090909</v>
      </c>
      <c r="K7" s="15" t="n">
        <f aca="false">$A7/($A7+ABS(K$4))</f>
        <v>0.0625</v>
      </c>
      <c r="L7" s="15" t="n">
        <f aca="false">$A7/($A7+ABS(L$4))</f>
        <v>0.0476190476190476</v>
      </c>
      <c r="M7" s="15" t="n">
        <f aca="false">$A7/($A7+ABS(M$4))</f>
        <v>0.032258064516129</v>
      </c>
    </row>
    <row r="8" customFormat="false" ht="15" hidden="false" customHeight="false" outlineLevel="0" collapsed="false">
      <c r="A8" s="28" t="n">
        <v>0.15</v>
      </c>
      <c r="B8" s="15" t="n">
        <f aca="false">$A8/($A8+ABS(B$4))</f>
        <v>0.6</v>
      </c>
      <c r="C8" s="15" t="n">
        <f aca="false">$A8/($A8+ABS(C$4))</f>
        <v>0.428571428571429</v>
      </c>
      <c r="D8" s="15" t="n">
        <f aca="false">$A8/($A8+ABS(D$4))</f>
        <v>0.333333333333333</v>
      </c>
      <c r="E8" s="15" t="n">
        <f aca="false">$A8/($A8+ABS(E$4))</f>
        <v>0.272727272727273</v>
      </c>
      <c r="F8" s="15" t="n">
        <f aca="false">$A8/($A8+ABS(F$4))</f>
        <v>0.230769230769231</v>
      </c>
      <c r="G8" s="15" t="n">
        <f aca="false">$A8/($A8+ABS(G$4))</f>
        <v>0.2</v>
      </c>
      <c r="H8" s="15" t="n">
        <f aca="false">$A8/($A8+ABS(H$4))</f>
        <v>0.166666666666667</v>
      </c>
      <c r="I8" s="15" t="n">
        <f aca="false">$A8/($A8+ABS(I$4))</f>
        <v>0.142857142857143</v>
      </c>
      <c r="J8" s="15" t="n">
        <f aca="false">$A8/($A8+ABS(J$4))</f>
        <v>0.130434782608696</v>
      </c>
      <c r="K8" s="15" t="n">
        <f aca="false">$A8/($A8+ABS(K$4))</f>
        <v>0.0909090909090909</v>
      </c>
      <c r="L8" s="15" t="n">
        <f aca="false">$A8/($A8+ABS(L$4))</f>
        <v>0.0697674418604651</v>
      </c>
      <c r="M8" s="15" t="n">
        <f aca="false">$A8/($A8+ABS(M$4))</f>
        <v>0.0476190476190476</v>
      </c>
    </row>
    <row r="9" customFormat="false" ht="15" hidden="false" customHeight="false" outlineLevel="0" collapsed="false">
      <c r="A9" s="28" t="n">
        <v>0.2</v>
      </c>
      <c r="B9" s="15" t="n">
        <f aca="false">$A9/($A9+ABS(B$4))</f>
        <v>0.666666666666667</v>
      </c>
      <c r="C9" s="15" t="n">
        <f aca="false">$A9/($A9+ABS(C$4))</f>
        <v>0.5</v>
      </c>
      <c r="D9" s="15" t="n">
        <f aca="false">$A9/($A9+ABS(D$4))</f>
        <v>0.4</v>
      </c>
      <c r="E9" s="15" t="n">
        <f aca="false">$A9/($A9+ABS(E$4))</f>
        <v>0.333333333333333</v>
      </c>
      <c r="F9" s="15" t="n">
        <f aca="false">$A9/($A9+ABS(F$4))</f>
        <v>0.285714285714286</v>
      </c>
      <c r="G9" s="15" t="n">
        <f aca="false">$A9/($A9+ABS(G$4))</f>
        <v>0.25</v>
      </c>
      <c r="H9" s="15" t="n">
        <f aca="false">$A9/($A9+ABS(H$4))</f>
        <v>0.210526315789474</v>
      </c>
      <c r="I9" s="15" t="n">
        <f aca="false">$A9/($A9+ABS(I$4))</f>
        <v>0.181818181818182</v>
      </c>
      <c r="J9" s="15" t="n">
        <f aca="false">$A9/($A9+ABS(J$4))</f>
        <v>0.166666666666667</v>
      </c>
      <c r="K9" s="15" t="n">
        <f aca="false">$A9/($A9+ABS(K$4))</f>
        <v>0.117647058823529</v>
      </c>
      <c r="L9" s="15" t="n">
        <f aca="false">$A9/($A9+ABS(L$4))</f>
        <v>0.0909090909090909</v>
      </c>
      <c r="M9" s="15" t="n">
        <f aca="false">$A9/($A9+ABS(M$4))</f>
        <v>0.0625</v>
      </c>
    </row>
    <row r="10" customFormat="false" ht="15" hidden="false" customHeight="false" outlineLevel="0" collapsed="false">
      <c r="A10" s="28" t="n">
        <v>0.3</v>
      </c>
      <c r="B10" s="15" t="n">
        <f aca="false">$A10/($A10+ABS(B$4))</f>
        <v>0.75</v>
      </c>
      <c r="C10" s="15" t="n">
        <f aca="false">$A10/($A10+ABS(C$4))</f>
        <v>0.6</v>
      </c>
      <c r="D10" s="15" t="n">
        <f aca="false">$A10/($A10+ABS(D$4))</f>
        <v>0.5</v>
      </c>
      <c r="E10" s="15" t="n">
        <f aca="false">$A10/($A10+ABS(E$4))</f>
        <v>0.428571428571429</v>
      </c>
      <c r="F10" s="15" t="n">
        <f aca="false">$A10/($A10+ABS(F$4))</f>
        <v>0.375</v>
      </c>
      <c r="G10" s="15" t="n">
        <f aca="false">$A10/($A10+ABS(G$4))</f>
        <v>0.333333333333333</v>
      </c>
      <c r="H10" s="15" t="n">
        <f aca="false">$A10/($A10+ABS(H$4))</f>
        <v>0.285714285714286</v>
      </c>
      <c r="I10" s="15" t="n">
        <f aca="false">$A10/($A10+ABS(I$4))</f>
        <v>0.25</v>
      </c>
      <c r="J10" s="15" t="n">
        <f aca="false">$A10/($A10+ABS(J$4))</f>
        <v>0.230769230769231</v>
      </c>
      <c r="K10" s="15" t="n">
        <f aca="false">$A10/($A10+ABS(K$4))</f>
        <v>0.166666666666667</v>
      </c>
      <c r="L10" s="15" t="n">
        <f aca="false">$A10/($A10+ABS(L$4))</f>
        <v>0.130434782608696</v>
      </c>
      <c r="M10" s="15" t="n">
        <f aca="false">$A10/($A10+ABS(M$4))</f>
        <v>0.0909090909090909</v>
      </c>
    </row>
    <row r="11" customFormat="false" ht="15" hidden="false" customHeight="false" outlineLevel="0" collapsed="false">
      <c r="A11" s="28" t="n">
        <v>0.4</v>
      </c>
      <c r="B11" s="15" t="n">
        <f aca="false">$A11/($A11+ABS(B$4))</f>
        <v>0.8</v>
      </c>
      <c r="C11" s="15" t="n">
        <f aca="false">$A11/($A11+ABS(C$4))</f>
        <v>0.666666666666667</v>
      </c>
      <c r="D11" s="15" t="n">
        <f aca="false">$A11/($A11+ABS(D$4))</f>
        <v>0.571428571428572</v>
      </c>
      <c r="E11" s="15" t="n">
        <f aca="false">$A11/($A11+ABS(E$4))</f>
        <v>0.5</v>
      </c>
      <c r="F11" s="15" t="n">
        <f aca="false">$A11/($A11+ABS(F$4))</f>
        <v>0.444444444444445</v>
      </c>
      <c r="G11" s="15" t="n">
        <f aca="false">$A11/($A11+ABS(G$4))</f>
        <v>0.4</v>
      </c>
      <c r="H11" s="15" t="n">
        <f aca="false">$A11/($A11+ABS(H$4))</f>
        <v>0.347826086956522</v>
      </c>
      <c r="I11" s="15" t="n">
        <f aca="false">$A11/($A11+ABS(I$4))</f>
        <v>0.307692307692308</v>
      </c>
      <c r="J11" s="15" t="n">
        <f aca="false">$A11/($A11+ABS(J$4))</f>
        <v>0.285714285714286</v>
      </c>
      <c r="K11" s="15" t="n">
        <f aca="false">$A11/($A11+ABS(K$4))</f>
        <v>0.210526315789474</v>
      </c>
      <c r="L11" s="15" t="n">
        <f aca="false">$A11/($A11+ABS(L$4))</f>
        <v>0.166666666666667</v>
      </c>
      <c r="M11" s="15" t="n">
        <f aca="false">$A11/($A11+ABS(M$4))</f>
        <v>0.117647058823529</v>
      </c>
    </row>
    <row r="12" customFormat="false" ht="15" hidden="false" customHeight="false" outlineLevel="0" collapsed="false">
      <c r="A12" s="28" t="n">
        <v>0.5</v>
      </c>
      <c r="B12" s="15" t="n">
        <f aca="false">$A12/($A12+ABS(B$4))</f>
        <v>0.833333333333333</v>
      </c>
      <c r="C12" s="15" t="n">
        <f aca="false">$A12/($A12+ABS(C$4))</f>
        <v>0.714285714285714</v>
      </c>
      <c r="D12" s="15" t="n">
        <f aca="false">$A12/($A12+ABS(D$4))</f>
        <v>0.625</v>
      </c>
      <c r="E12" s="15" t="n">
        <f aca="false">$A12/($A12+ABS(E$4))</f>
        <v>0.555555555555556</v>
      </c>
      <c r="F12" s="15" t="n">
        <f aca="false">$A12/($A12+ABS(F$4))</f>
        <v>0.5</v>
      </c>
      <c r="G12" s="15" t="n">
        <f aca="false">$A12/($A12+ABS(G$4))</f>
        <v>0.454545454545455</v>
      </c>
      <c r="H12" s="15" t="n">
        <f aca="false">$A12/($A12+ABS(H$4))</f>
        <v>0.4</v>
      </c>
      <c r="I12" s="15" t="n">
        <f aca="false">$A12/($A12+ABS(I$4))</f>
        <v>0.357142857142857</v>
      </c>
      <c r="J12" s="15" t="n">
        <f aca="false">$A12/($A12+ABS(J$4))</f>
        <v>0.333333333333333</v>
      </c>
      <c r="K12" s="15" t="n">
        <f aca="false">$A12/($A12+ABS(K$4))</f>
        <v>0.25</v>
      </c>
      <c r="L12" s="15" t="n">
        <f aca="false">$A12/($A12+ABS(L$4))</f>
        <v>0.2</v>
      </c>
      <c r="M12" s="15" t="n">
        <f aca="false">$A12/($A12+ABS(M$4))</f>
        <v>0.142857142857143</v>
      </c>
    </row>
    <row r="13" customFormat="false" ht="15" hidden="false" customHeight="false" outlineLevel="0" collapsed="false">
      <c r="A13" s="28" t="n">
        <v>0.7</v>
      </c>
      <c r="B13" s="15" t="n">
        <f aca="false">$A13/($A13+ABS(B$4))</f>
        <v>0.875</v>
      </c>
      <c r="C13" s="15" t="n">
        <f aca="false">$A13/($A13+ABS(C$4))</f>
        <v>0.777777777777778</v>
      </c>
      <c r="D13" s="15" t="n">
        <f aca="false">$A13/($A13+ABS(D$4))</f>
        <v>0.7</v>
      </c>
      <c r="E13" s="15" t="n">
        <f aca="false">$A13/($A13+ABS(E$4))</f>
        <v>0.636363636363636</v>
      </c>
      <c r="F13" s="15" t="n">
        <f aca="false">$A13/($A13+ABS(F$4))</f>
        <v>0.583333333333333</v>
      </c>
      <c r="G13" s="15" t="n">
        <f aca="false">$A13/($A13+ABS(G$4))</f>
        <v>0.538461538461539</v>
      </c>
      <c r="H13" s="15" t="n">
        <f aca="false">$A13/($A13+ABS(H$4))</f>
        <v>0.482758620689655</v>
      </c>
      <c r="I13" s="15" t="n">
        <f aca="false">$A13/($A13+ABS(I$4))</f>
        <v>0.4375</v>
      </c>
      <c r="J13" s="15" t="n">
        <f aca="false">$A13/($A13+ABS(J$4))</f>
        <v>0.411764705882353</v>
      </c>
      <c r="K13" s="15" t="n">
        <f aca="false">$A13/($A13+ABS(K$4))</f>
        <v>0.318181818181818</v>
      </c>
      <c r="L13" s="15" t="n">
        <f aca="false">$A13/($A13+ABS(L$4))</f>
        <v>0.259259259259259</v>
      </c>
      <c r="M13" s="15" t="n">
        <f aca="false">$A13/($A13+ABS(M$4))</f>
        <v>0.189189189189189</v>
      </c>
    </row>
    <row r="14" customFormat="false" ht="15" hidden="false" customHeight="false" outlineLevel="0" collapsed="false">
      <c r="A14" s="28" t="n">
        <v>0.9</v>
      </c>
      <c r="B14" s="15" t="n">
        <f aca="false">$A14/($A14+ABS(B$4))</f>
        <v>0.9</v>
      </c>
      <c r="C14" s="15" t="n">
        <f aca="false">$A14/($A14+ABS(C$4))</f>
        <v>0.818181818181818</v>
      </c>
      <c r="D14" s="15" t="n">
        <f aca="false">$A14/($A14+ABS(D$4))</f>
        <v>0.75</v>
      </c>
      <c r="E14" s="15" t="n">
        <f aca="false">$A14/($A14+ABS(E$4))</f>
        <v>0.692307692307692</v>
      </c>
      <c r="F14" s="15" t="n">
        <f aca="false">$A14/($A14+ABS(F$4))</f>
        <v>0.642857142857143</v>
      </c>
      <c r="G14" s="15" t="n">
        <f aca="false">$A14/($A14+ABS(G$4))</f>
        <v>0.6</v>
      </c>
      <c r="H14" s="15" t="n">
        <f aca="false">$A14/($A14+ABS(H$4))</f>
        <v>0.545454545454546</v>
      </c>
      <c r="I14" s="15" t="n">
        <f aca="false">$A14/($A14+ABS(I$4))</f>
        <v>0.5</v>
      </c>
      <c r="J14" s="15" t="n">
        <f aca="false">$A14/($A14+ABS(J$4))</f>
        <v>0.473684210526316</v>
      </c>
      <c r="K14" s="15" t="n">
        <f aca="false">$A14/($A14+ABS(K$4))</f>
        <v>0.375</v>
      </c>
      <c r="L14" s="15" t="n">
        <f aca="false">$A14/($A14+ABS(L$4))</f>
        <v>0.310344827586207</v>
      </c>
      <c r="M14" s="15" t="n">
        <f aca="false">$A14/($A14+ABS(M$4))</f>
        <v>0.230769230769231</v>
      </c>
    </row>
    <row r="15" customFormat="false" ht="15" hidden="false" customHeight="false" outlineLevel="0" collapsed="false">
      <c r="A15" s="28" t="n">
        <v>1</v>
      </c>
      <c r="B15" s="15" t="n">
        <f aca="false">$A15/($A15+ABS(B$4))</f>
        <v>0.909090909090909</v>
      </c>
      <c r="C15" s="15" t="n">
        <f aca="false">$A15/($A15+ABS(C$4))</f>
        <v>0.833333333333333</v>
      </c>
      <c r="D15" s="15" t="n">
        <f aca="false">$A15/($A15+ABS(D$4))</f>
        <v>0.769230769230769</v>
      </c>
      <c r="E15" s="15" t="n">
        <f aca="false">$A15/($A15+ABS(E$4))</f>
        <v>0.714285714285714</v>
      </c>
      <c r="F15" s="15" t="n">
        <f aca="false">$A15/($A15+ABS(F$4))</f>
        <v>0.666666666666667</v>
      </c>
      <c r="G15" s="15" t="n">
        <f aca="false">$A15/($A15+ABS(G$4))</f>
        <v>0.625</v>
      </c>
      <c r="H15" s="15" t="n">
        <f aca="false">$A15/($A15+ABS(H$4))</f>
        <v>0.571428571428571</v>
      </c>
      <c r="I15" s="15" t="n">
        <f aca="false">$A15/($A15+ABS(I$4))</f>
        <v>0.526315789473684</v>
      </c>
      <c r="J15" s="15" t="n">
        <f aca="false">$A15/($A15+ABS(J$4))</f>
        <v>0.5</v>
      </c>
      <c r="K15" s="15" t="n">
        <f aca="false">$A15/($A15+ABS(K$4))</f>
        <v>0.4</v>
      </c>
      <c r="L15" s="15" t="n">
        <f aca="false">$A15/($A15+ABS(L$4))</f>
        <v>0.333333333333333</v>
      </c>
      <c r="M15" s="15" t="n">
        <f aca="false">$A15/($A15+ABS(M$4))</f>
        <v>0.25</v>
      </c>
    </row>
    <row r="16" customFormat="false" ht="15" hidden="false" customHeight="false" outlineLevel="0" collapsed="false">
      <c r="A16" s="28" t="n">
        <v>1.5</v>
      </c>
      <c r="B16" s="15" t="n">
        <f aca="false">$A16/($A16+ABS(B$4))</f>
        <v>0.9375</v>
      </c>
      <c r="C16" s="15" t="n">
        <f aca="false">$A16/($A16+ABS(C$4))</f>
        <v>0.882352941176471</v>
      </c>
      <c r="D16" s="15" t="n">
        <f aca="false">$A16/($A16+ABS(D$4))</f>
        <v>0.833333333333333</v>
      </c>
      <c r="E16" s="15" t="n">
        <f aca="false">$A16/($A16+ABS(E$4))</f>
        <v>0.789473684210526</v>
      </c>
      <c r="F16" s="15" t="n">
        <f aca="false">$A16/($A16+ABS(F$4))</f>
        <v>0.75</v>
      </c>
      <c r="G16" s="15" t="n">
        <f aca="false">$A16/($A16+ABS(G$4))</f>
        <v>0.714285714285714</v>
      </c>
      <c r="H16" s="15" t="n">
        <f aca="false">$A16/($A16+ABS(H$4))</f>
        <v>0.666666666666667</v>
      </c>
      <c r="I16" s="15" t="n">
        <f aca="false">$A16/($A16+ABS(I$4))</f>
        <v>0.625</v>
      </c>
      <c r="J16" s="15" t="n">
        <f aca="false">$A16/($A16+ABS(J$4))</f>
        <v>0.6</v>
      </c>
      <c r="K16" s="15" t="n">
        <f aca="false">$A16/($A16+ABS(K$4))</f>
        <v>0.5</v>
      </c>
      <c r="L16" s="15" t="n">
        <f aca="false">$A16/($A16+ABS(L$4))</f>
        <v>0.428571428571429</v>
      </c>
      <c r="M16" s="15" t="n">
        <f aca="false">$A16/($A16+ABS(M$4))</f>
        <v>0.333333333333333</v>
      </c>
    </row>
    <row r="17" customFormat="false" ht="15" hidden="false" customHeight="false" outlineLevel="0" collapsed="false">
      <c r="A17" s="28" t="n">
        <v>2</v>
      </c>
      <c r="B17" s="15" t="n">
        <f aca="false">$A17/($A17+ABS(B$4))</f>
        <v>0.952380952380952</v>
      </c>
      <c r="C17" s="15" t="n">
        <f aca="false">$A17/($A17+ABS(C$4))</f>
        <v>0.909090909090909</v>
      </c>
      <c r="D17" s="15" t="n">
        <f aca="false">$A17/($A17+ABS(D$4))</f>
        <v>0.869565217391304</v>
      </c>
      <c r="E17" s="15" t="n">
        <f aca="false">$A17/($A17+ABS(E$4))</f>
        <v>0.833333333333333</v>
      </c>
      <c r="F17" s="15" t="n">
        <f aca="false">$A17/($A17+ABS(F$4))</f>
        <v>0.8</v>
      </c>
      <c r="G17" s="15" t="n">
        <f aca="false">$A17/($A17+ABS(G$4))</f>
        <v>0.769230769230769</v>
      </c>
      <c r="H17" s="15" t="n">
        <f aca="false">$A17/($A17+ABS(H$4))</f>
        <v>0.727272727272727</v>
      </c>
      <c r="I17" s="15" t="n">
        <f aca="false">$A17/($A17+ABS(I$4))</f>
        <v>0.689655172413793</v>
      </c>
      <c r="J17" s="15" t="n">
        <f aca="false">$A17/($A17+ABS(J$4))</f>
        <v>0.666666666666667</v>
      </c>
      <c r="K17" s="15" t="n">
        <f aca="false">$A17/($A17+ABS(K$4))</f>
        <v>0.571428571428571</v>
      </c>
      <c r="L17" s="15" t="n">
        <f aca="false">$A17/($A17+ABS(L$4))</f>
        <v>0.5</v>
      </c>
      <c r="M17" s="15" t="n">
        <f aca="false">$A17/($A17+ABS(M$4))</f>
        <v>0.4</v>
      </c>
    </row>
    <row r="18" customFormat="false" ht="15" hidden="false" customHeight="false" outlineLevel="0" collapsed="false">
      <c r="A18" s="28" t="n">
        <v>2.5</v>
      </c>
      <c r="B18" s="15" t="n">
        <f aca="false">$A18/($A18+ABS(B$4))</f>
        <v>0.961538461538462</v>
      </c>
      <c r="C18" s="15" t="n">
        <f aca="false">$A18/($A18+ABS(C$4))</f>
        <v>0.925925925925926</v>
      </c>
      <c r="D18" s="15" t="n">
        <f aca="false">$A18/($A18+ABS(D$4))</f>
        <v>0.892857142857143</v>
      </c>
      <c r="E18" s="15" t="n">
        <f aca="false">$A18/($A18+ABS(E$4))</f>
        <v>0.862068965517241</v>
      </c>
      <c r="F18" s="15" t="n">
        <f aca="false">$A18/($A18+ABS(F$4))</f>
        <v>0.833333333333333</v>
      </c>
      <c r="G18" s="15" t="n">
        <f aca="false">$A18/($A18+ABS(G$4))</f>
        <v>0.806451612903226</v>
      </c>
      <c r="H18" s="15" t="n">
        <f aca="false">$A18/($A18+ABS(H$4))</f>
        <v>0.769230769230769</v>
      </c>
      <c r="I18" s="15" t="n">
        <f aca="false">$A18/($A18+ABS(I$4))</f>
        <v>0.735294117647059</v>
      </c>
      <c r="J18" s="15" t="n">
        <f aca="false">$A18/($A18+ABS(J$4))</f>
        <v>0.714285714285714</v>
      </c>
      <c r="K18" s="15" t="n">
        <f aca="false">$A18/($A18+ABS(K$4))</f>
        <v>0.625</v>
      </c>
      <c r="L18" s="15" t="n">
        <f aca="false">$A18/($A18+ABS(L$4))</f>
        <v>0.555555555555556</v>
      </c>
      <c r="M18" s="15" t="n">
        <f aca="false">$A18/($A18+ABS(M$4))</f>
        <v>0.454545454545455</v>
      </c>
    </row>
    <row r="21" customFormat="false" ht="15" hidden="false" customHeight="false" outlineLevel="0" collapsed="false">
      <c r="A21" s="14" t="s">
        <v>597</v>
      </c>
    </row>
    <row r="22" customFormat="false" ht="15" hidden="false" customHeight="false" outlineLevel="0" collapsed="false">
      <c r="A22" s="5" t="s">
        <v>598</v>
      </c>
      <c r="B22" s="23" t="n">
        <v>0.05</v>
      </c>
    </row>
    <row r="23" customFormat="false" ht="15" hidden="false" customHeight="false" outlineLevel="0" collapsed="false">
      <c r="A23" s="5" t="s">
        <v>599</v>
      </c>
      <c r="B23" s="28" t="n">
        <v>-1.5</v>
      </c>
    </row>
    <row r="24" customFormat="false" ht="15" hidden="false" customHeight="false" outlineLevel="0" collapsed="false">
      <c r="A24" s="5" t="s">
        <v>600</v>
      </c>
      <c r="B24" s="28" t="n">
        <v>-0.65</v>
      </c>
    </row>
    <row r="25" customFormat="false" ht="15" hidden="false" customHeight="false" outlineLevel="0" collapsed="false">
      <c r="A25" s="5" t="s">
        <v>601</v>
      </c>
      <c r="B25" s="28" t="n">
        <v>0.9</v>
      </c>
    </row>
    <row r="26" customFormat="false" ht="15" hidden="false" customHeight="false" outlineLevel="0" collapsed="false">
      <c r="A26" s="14" t="s">
        <v>602</v>
      </c>
      <c r="B26" s="24" t="n">
        <f aca="false">B25*ABS(B24)*(B22/ABS(B23))/(B25+ABS(B24))</f>
        <v>0.0125806451612903</v>
      </c>
    </row>
    <row r="27" customFormat="false" ht="15" hidden="false" customHeight="false" outlineLevel="0" collapsed="false">
      <c r="A27" s="5" t="s">
        <v>603</v>
      </c>
    </row>
    <row r="28" customFormat="false" ht="15" hidden="false" customHeight="false" outlineLevel="0" collapsed="false">
      <c r="A28" s="5" t="s">
        <v>604</v>
      </c>
      <c r="B28" s="15" t="n">
        <f aca="false">B25/(B25+ABS(B24))</f>
        <v>0.580645161290323</v>
      </c>
    </row>
    <row r="29" customFormat="false" ht="15" hidden="false" customHeight="false" outlineLevel="0" collapsed="false">
      <c r="A29" s="5" t="s">
        <v>605</v>
      </c>
      <c r="B29" s="15" t="n">
        <f aca="false">(B22/ABS(B23))*ABS(B24)</f>
        <v>0.0216666666666667</v>
      </c>
    </row>
    <row r="32" customFormat="false" ht="15" hidden="false" customHeight="false" outlineLevel="0" collapsed="false">
      <c r="A32" s="14" t="s">
        <v>606</v>
      </c>
    </row>
    <row r="33" customFormat="false" ht="15" hidden="false" customHeight="false" outlineLevel="0" collapsed="false">
      <c r="A33" s="5" t="s">
        <v>607</v>
      </c>
      <c r="B33" s="17" t="n">
        <v>0.05</v>
      </c>
    </row>
    <row r="34" customFormat="false" ht="15" hidden="false" customHeight="false" outlineLevel="0" collapsed="false">
      <c r="A34" s="5" t="s">
        <v>608</v>
      </c>
      <c r="B34" s="29" t="n">
        <v>0.0135</v>
      </c>
    </row>
    <row r="35" customFormat="false" ht="15" hidden="false" customHeight="false" outlineLevel="0" collapsed="false">
      <c r="A35" s="5" t="s">
        <v>609</v>
      </c>
      <c r="B35" s="30" t="n">
        <v>0.62</v>
      </c>
    </row>
    <row r="36" customFormat="false" ht="15" hidden="false" customHeight="false" outlineLevel="0" collapsed="false">
      <c r="A36" s="5" t="s">
        <v>610</v>
      </c>
      <c r="B36" s="30" t="n">
        <v>0.42</v>
      </c>
    </row>
    <row r="37" customFormat="false" ht="15" hidden="false" customHeight="false" outlineLevel="0" collapsed="false">
      <c r="A37" s="5" t="s">
        <v>611</v>
      </c>
      <c r="B37" s="17" t="n">
        <v>0.06</v>
      </c>
    </row>
    <row r="38" customFormat="false" ht="15" hidden="false" customHeight="false" outlineLevel="0" collapsed="false">
      <c r="A38" s="14" t="s">
        <v>612</v>
      </c>
      <c r="B38" s="11" t="n">
        <f aca="false">-B33/B34</f>
        <v>-3.7037037037037</v>
      </c>
    </row>
    <row r="39" customFormat="false" ht="15" hidden="false" customHeight="false" outlineLevel="0" collapsed="false">
      <c r="A39" s="14" t="s">
        <v>613</v>
      </c>
      <c r="B39" s="5" t="str">
        <f aca="false">IF(ABS(B38)&lt;=1,"yes","no: the whole product market is too small")</f>
        <v>no: the whole product market is too small</v>
      </c>
    </row>
    <row r="40" customFormat="false" ht="15" hidden="false" customHeight="false" outlineLevel="0" collapsed="false">
      <c r="A40" s="14" t="s">
        <v>614</v>
      </c>
      <c r="B40" s="11" t="n">
        <f aca="false">EXP(B35*LN(MAX(0.0001,1+B38*B36)))</f>
        <v>0.00331131121482591</v>
      </c>
    </row>
    <row r="41" customFormat="false" ht="15" hidden="false" customHeight="false" outlineLevel="0" collapsed="false">
      <c r="A41" s="14" t="s">
        <v>615</v>
      </c>
      <c r="B41" s="5" t="str">
        <f aca="false">IF(AND(B37&gt;0,B40&lt;B37),"floor binds","ok")</f>
        <v>floor binds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6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4" t="s">
        <v>616</v>
      </c>
    </row>
    <row r="2" customFormat="false" ht="15" hidden="false" customHeight="false" outlineLevel="0" collapsed="false">
      <c r="A2" s="5" t="s">
        <v>617</v>
      </c>
    </row>
    <row r="4" customFormat="false" ht="45" hidden="false" customHeight="true" outlineLevel="0" collapsed="false">
      <c r="A4" s="6" t="s">
        <v>25</v>
      </c>
      <c r="B4" s="6" t="s">
        <v>26</v>
      </c>
      <c r="C4" s="6" t="s">
        <v>618</v>
      </c>
      <c r="D4" s="6" t="s">
        <v>619</v>
      </c>
      <c r="E4" s="6" t="s">
        <v>620</v>
      </c>
      <c r="F4" s="6" t="s">
        <v>621</v>
      </c>
      <c r="G4" s="6" t="s">
        <v>619</v>
      </c>
      <c r="H4" s="6" t="s">
        <v>620</v>
      </c>
      <c r="I4" s="6" t="s">
        <v>622</v>
      </c>
      <c r="J4" s="6" t="s">
        <v>619</v>
      </c>
      <c r="K4" s="6" t="s">
        <v>620</v>
      </c>
    </row>
    <row r="5" customFormat="false" ht="15" hidden="false" customHeight="false" outlineLevel="0" collapsed="false">
      <c r="A5" s="5" t="s">
        <v>623</v>
      </c>
      <c r="B5" s="2" t="s">
        <v>216</v>
      </c>
      <c r="C5" s="24" t="n">
        <v>0.0148226339515343</v>
      </c>
      <c r="D5" s="24" t="n">
        <v>0.0267212106706256</v>
      </c>
      <c r="E5" s="24" t="n">
        <v>0.0458244203616624</v>
      </c>
      <c r="F5" s="24" t="n">
        <v>0.0660393793501165</v>
      </c>
      <c r="G5" s="24" t="n">
        <v>0.100689200746224</v>
      </c>
      <c r="H5" s="24" t="n">
        <v>0.131041141408618</v>
      </c>
      <c r="I5" s="24" t="n">
        <v>0.16997338332515</v>
      </c>
      <c r="J5" s="24" t="n">
        <v>0.175696004548679</v>
      </c>
      <c r="K5" s="24" t="n">
        <v>0.179923849542306</v>
      </c>
    </row>
    <row r="6" customFormat="false" ht="15" hidden="false" customHeight="false" outlineLevel="0" collapsed="false">
      <c r="A6" s="5" t="s">
        <v>623</v>
      </c>
      <c r="B6" s="2" t="s">
        <v>220</v>
      </c>
      <c r="C6" s="24" t="n">
        <v>0.00624110903222496</v>
      </c>
      <c r="D6" s="24" t="n">
        <v>0.0112510360718424</v>
      </c>
      <c r="E6" s="24" t="n">
        <v>0.0192944927838579</v>
      </c>
      <c r="F6" s="24" t="n">
        <v>0.027806054463207</v>
      </c>
      <c r="G6" s="24" t="n">
        <v>0.0423954529457786</v>
      </c>
      <c r="H6" s="24" t="n">
        <v>0.0551752174352075</v>
      </c>
      <c r="I6" s="24" t="n">
        <v>0.0715677403474317</v>
      </c>
      <c r="J6" s="24" t="n">
        <v>0.0739772650731279</v>
      </c>
      <c r="K6" s="24" t="n">
        <v>0.0757574103336023</v>
      </c>
    </row>
    <row r="7" customFormat="false" ht="15" hidden="false" customHeight="false" outlineLevel="0" collapsed="false">
      <c r="A7" s="5" t="s">
        <v>623</v>
      </c>
      <c r="B7" s="2" t="s">
        <v>224</v>
      </c>
      <c r="C7" s="24" t="n">
        <v>0.00338481770911296</v>
      </c>
      <c r="D7" s="24" t="n">
        <v>0.00698973401519065</v>
      </c>
      <c r="E7" s="24" t="n">
        <v>0.0131286543187479</v>
      </c>
      <c r="F7" s="24" t="n">
        <v>0.0143907639927734</v>
      </c>
      <c r="G7" s="24" t="n">
        <v>0.0254581352388972</v>
      </c>
      <c r="H7" s="24" t="n">
        <v>0.0397812285702041</v>
      </c>
      <c r="I7" s="24" t="n">
        <v>0.0295173678114112</v>
      </c>
      <c r="J7" s="24" t="n">
        <v>0.0461616146913872</v>
      </c>
      <c r="K7" s="24" t="n">
        <v>0.0661983507779829</v>
      </c>
    </row>
    <row r="8" customFormat="false" ht="15" hidden="false" customHeight="false" outlineLevel="0" collapsed="false">
      <c r="A8" s="5" t="s">
        <v>623</v>
      </c>
      <c r="B8" s="2" t="s">
        <v>228</v>
      </c>
      <c r="C8" s="24" t="n">
        <v>0.00561163471039132</v>
      </c>
      <c r="D8" s="24" t="n">
        <v>0.0109562540064826</v>
      </c>
      <c r="E8" s="24" t="n">
        <v>0.0197955082102761</v>
      </c>
      <c r="F8" s="24" t="n">
        <v>0.0244190421043203</v>
      </c>
      <c r="G8" s="24" t="n">
        <v>0.0403813528371205</v>
      </c>
      <c r="H8" s="24" t="n">
        <v>0.05949478469738</v>
      </c>
      <c r="I8" s="24" t="n">
        <v>0.0534699631675171</v>
      </c>
      <c r="J8" s="24" t="n">
        <v>0.0734821683241799</v>
      </c>
      <c r="K8" s="24" t="n">
        <v>0.090482416131156</v>
      </c>
    </row>
    <row r="9" customFormat="false" ht="15" hidden="false" customHeight="false" outlineLevel="0" collapsed="false">
      <c r="A9" s="5" t="s">
        <v>623</v>
      </c>
      <c r="B9" s="2" t="s">
        <v>231</v>
      </c>
      <c r="C9" s="24" t="n">
        <v>0.0403760987282047</v>
      </c>
      <c r="D9" s="24" t="n">
        <v>0.0739739013153248</v>
      </c>
      <c r="E9" s="24" t="n">
        <v>0.127416318332307</v>
      </c>
      <c r="F9" s="24" t="n">
        <v>0.1779322743798</v>
      </c>
      <c r="G9" s="24" t="n">
        <v>0.274774629153763</v>
      </c>
      <c r="H9" s="24" t="n">
        <v>0.366150511412296</v>
      </c>
      <c r="I9" s="24" t="n">
        <v>0.439578513288351</v>
      </c>
      <c r="J9" s="24" t="n">
        <v>0.485453485288806</v>
      </c>
      <c r="K9" s="24" t="n">
        <v>0.518768161426564</v>
      </c>
    </row>
    <row r="10" customFormat="false" ht="15" hidden="false" customHeight="false" outlineLevel="0" collapsed="false">
      <c r="A10" s="5" t="s">
        <v>623</v>
      </c>
      <c r="B10" s="2" t="s">
        <v>235</v>
      </c>
      <c r="C10" s="24" t="n">
        <v>0.0020916859333168</v>
      </c>
      <c r="D10" s="24" t="n">
        <v>0.00467705221113707</v>
      </c>
      <c r="E10" s="24" t="n">
        <v>0.00997020036014608</v>
      </c>
      <c r="F10" s="24" t="n">
        <v>0.0086857335395148</v>
      </c>
      <c r="G10" s="24" t="n">
        <v>0.0168811164556423</v>
      </c>
      <c r="H10" s="24" t="n">
        <v>0.0321034302310504</v>
      </c>
      <c r="I10" s="24" t="n">
        <v>0.0167173284630011</v>
      </c>
      <c r="J10" s="24" t="n">
        <v>0.0310938086050017</v>
      </c>
      <c r="K10" s="24" t="n">
        <v>0.0542917017912187</v>
      </c>
    </row>
    <row r="11" customFormat="false" ht="15" hidden="false" customHeight="false" outlineLevel="0" collapsed="false">
      <c r="A11" s="5" t="s">
        <v>623</v>
      </c>
      <c r="B11" s="2" t="s">
        <v>238</v>
      </c>
      <c r="C11" s="24" t="n">
        <v>0.00170878167776427</v>
      </c>
      <c r="D11" s="24" t="n">
        <v>0.00382087052221307</v>
      </c>
      <c r="E11" s="24" t="n">
        <v>0.00814505439257835</v>
      </c>
      <c r="F11" s="24" t="n">
        <v>0.00709572220851072</v>
      </c>
      <c r="G11" s="24" t="n">
        <v>0.0137908574323416</v>
      </c>
      <c r="H11" s="24" t="n">
        <v>0.0262265727843827</v>
      </c>
      <c r="I11" s="24" t="n">
        <v>0.0136570524875337</v>
      </c>
      <c r="J11" s="24" t="n">
        <v>0.0254017726035396</v>
      </c>
      <c r="K11" s="24" t="n">
        <v>0.0443530569277989</v>
      </c>
    </row>
    <row r="12" customFormat="false" ht="15" hidden="false" customHeight="false" outlineLevel="0" collapsed="false">
      <c r="A12" s="5" t="s">
        <v>623</v>
      </c>
      <c r="B12" s="2" t="s">
        <v>239</v>
      </c>
      <c r="C12" s="24" t="n">
        <v>0.000152226154549874</v>
      </c>
      <c r="D12" s="24" t="n">
        <v>0.000349830926586782</v>
      </c>
      <c r="E12" s="24" t="n">
        <v>0.000776111332399818</v>
      </c>
      <c r="F12" s="24" t="n">
        <v>0.000625595866564634</v>
      </c>
      <c r="G12" s="24" t="n">
        <v>0.00127343959691781</v>
      </c>
      <c r="H12" s="24" t="n">
        <v>0.00239280828871481</v>
      </c>
      <c r="I12" s="24" t="n">
        <v>0.00121941822965759</v>
      </c>
      <c r="J12" s="24" t="n">
        <v>0.00225538066879353</v>
      </c>
      <c r="K12" s="24" t="n">
        <v>0.00419859230321413</v>
      </c>
    </row>
    <row r="13" customFormat="false" ht="15" hidden="false" customHeight="false" outlineLevel="0" collapsed="false">
      <c r="A13" s="5" t="s">
        <v>623</v>
      </c>
      <c r="B13" s="2" t="s">
        <v>242</v>
      </c>
      <c r="C13" s="24" t="n">
        <v>0.000243879457736384</v>
      </c>
      <c r="D13" s="24" t="n">
        <v>0.000560459383130835</v>
      </c>
      <c r="E13" s="24" t="n">
        <v>0.00124339744013384</v>
      </c>
      <c r="F13" s="24" t="n">
        <v>0.00100225865358716</v>
      </c>
      <c r="G13" s="24" t="n">
        <v>0.00204016030802779</v>
      </c>
      <c r="H13" s="24" t="n">
        <v>0.00383348570844772</v>
      </c>
      <c r="I13" s="24" t="n">
        <v>0.00195361340816976</v>
      </c>
      <c r="J13" s="24" t="n">
        <v>0.00361331478234433</v>
      </c>
      <c r="K13" s="24" t="n">
        <v>0.00672650778830878</v>
      </c>
    </row>
    <row r="14" customFormat="false" ht="15" hidden="false" customHeight="false" outlineLevel="0" collapsed="false">
      <c r="A14" s="5" t="s">
        <v>623</v>
      </c>
      <c r="B14" s="2" t="s">
        <v>244</v>
      </c>
      <c r="C14" s="24" t="n">
        <v>0.000245769996168449</v>
      </c>
      <c r="D14" s="24" t="n">
        <v>0.000564804029511694</v>
      </c>
      <c r="E14" s="24" t="n">
        <v>0.00125303617997984</v>
      </c>
      <c r="F14" s="24" t="n">
        <v>0.00101002810051419</v>
      </c>
      <c r="G14" s="24" t="n">
        <v>0.00205597550421406</v>
      </c>
      <c r="H14" s="24" t="n">
        <v>0.00386320265192406</v>
      </c>
      <c r="I14" s="24" t="n">
        <v>0.00196875769815558</v>
      </c>
      <c r="J14" s="24" t="n">
        <v>0.00364132497445553</v>
      </c>
      <c r="K14" s="24" t="n">
        <v>0.00677865125953598</v>
      </c>
    </row>
    <row r="15" customFormat="false" ht="15" hidden="false" customHeight="false" outlineLevel="0" collapsed="false">
      <c r="A15" s="5" t="s">
        <v>623</v>
      </c>
      <c r="B15" s="2" t="s">
        <v>246</v>
      </c>
      <c r="C15" s="24" t="n">
        <v>0.00304520061452262</v>
      </c>
      <c r="D15" s="24" t="n">
        <v>0.0059066128726889</v>
      </c>
      <c r="E15" s="24" t="n">
        <v>0.0104909273223575</v>
      </c>
      <c r="F15" s="24" t="n">
        <v>0.0131448861588843</v>
      </c>
      <c r="G15" s="24" t="n">
        <v>0.0217477278854026</v>
      </c>
      <c r="H15" s="24" t="n">
        <v>0.0332663568179121</v>
      </c>
      <c r="I15" s="24" t="n">
        <v>0.0271649517127625</v>
      </c>
      <c r="J15" s="24" t="n">
        <v>0.0383162657977963</v>
      </c>
      <c r="K15" s="24" t="n">
        <v>0.0547563039691455</v>
      </c>
    </row>
    <row r="16" customFormat="false" ht="15" hidden="false" customHeight="false" outlineLevel="0" collapsed="false">
      <c r="A16" s="5" t="s">
        <v>623</v>
      </c>
      <c r="B16" s="2" t="s">
        <v>250</v>
      </c>
      <c r="C16" s="24" t="n">
        <v>0.00241436712734663</v>
      </c>
      <c r="D16" s="24" t="n">
        <v>0.00524986675875789</v>
      </c>
      <c r="E16" s="24" t="n">
        <v>0.011257379454868</v>
      </c>
      <c r="F16" s="24" t="n">
        <v>0.00956256325179217</v>
      </c>
      <c r="G16" s="24" t="n">
        <v>0.0192065707990166</v>
      </c>
      <c r="H16" s="24" t="n">
        <v>0.0360716341848776</v>
      </c>
      <c r="I16" s="24" t="n">
        <v>0.0188721502933811</v>
      </c>
      <c r="J16" s="24" t="n">
        <v>0.0348748826901478</v>
      </c>
      <c r="K16" s="24" t="n">
        <v>0.0594368203046528</v>
      </c>
    </row>
    <row r="17" customFormat="false" ht="15" hidden="false" customHeight="false" outlineLevel="0" collapsed="false">
      <c r="A17" s="5" t="s">
        <v>623</v>
      </c>
      <c r="B17" s="2" t="s">
        <v>624</v>
      </c>
      <c r="C17" s="24" t="n">
        <v>0.0852944584436076</v>
      </c>
      <c r="D17" s="24" t="n">
        <v>0.153192940826668</v>
      </c>
      <c r="E17" s="24" t="n">
        <v>0.260775412447665</v>
      </c>
      <c r="F17" s="24" t="n">
        <v>0.37984977373881</v>
      </c>
      <c r="G17" s="24" t="n">
        <v>0.57562877973382</v>
      </c>
      <c r="H17" s="24" t="n">
        <v>0.745522910826869</v>
      </c>
    </row>
    <row r="19" customFormat="false" ht="15" hidden="false" customHeight="false" outlineLevel="0" collapsed="false">
      <c r="A19" s="5" t="s">
        <v>625</v>
      </c>
      <c r="B19" s="2" t="s">
        <v>216</v>
      </c>
      <c r="C19" s="24" t="n">
        <v>0.0162649657377608</v>
      </c>
      <c r="D19" s="24" t="n">
        <v>0.0292308108314268</v>
      </c>
      <c r="E19" s="24" t="n">
        <v>0.050077710228219</v>
      </c>
      <c r="F19" s="24" t="n">
        <v>0.0714693753292611</v>
      </c>
      <c r="G19" s="24" t="n">
        <v>0.105577446836829</v>
      </c>
      <c r="H19" s="24" t="n">
        <v>0.135952528021762</v>
      </c>
      <c r="I19" s="24" t="n">
        <v>0.173396684486873</v>
      </c>
      <c r="J19" s="24" t="n">
        <v>0.178387579152179</v>
      </c>
      <c r="K19" s="24" t="n">
        <v>0.181722786854654</v>
      </c>
    </row>
    <row r="20" customFormat="false" ht="15" hidden="false" customHeight="false" outlineLevel="0" collapsed="false">
      <c r="A20" s="5" t="s">
        <v>625</v>
      </c>
      <c r="B20" s="2" t="s">
        <v>220</v>
      </c>
      <c r="C20" s="24" t="n">
        <v>0.00684840662642562</v>
      </c>
      <c r="D20" s="24" t="n">
        <v>0.0123077098237586</v>
      </c>
      <c r="E20" s="24" t="n">
        <v>0.0210853516750396</v>
      </c>
      <c r="F20" s="24" t="n">
        <v>0.0300923685596889</v>
      </c>
      <c r="G20" s="24" t="n">
        <v>0.0444536618260331</v>
      </c>
      <c r="H20" s="24" t="n">
        <v>0.0572431696933734</v>
      </c>
      <c r="I20" s="24" t="n">
        <v>0.0730091303102622</v>
      </c>
      <c r="J20" s="24" t="n">
        <v>0.0751105596430227</v>
      </c>
      <c r="K20" s="24" t="n">
        <v>0.0765148576230123</v>
      </c>
    </row>
    <row r="21" customFormat="false" ht="15" hidden="false" customHeight="false" outlineLevel="0" collapsed="false">
      <c r="A21" s="5" t="s">
        <v>625</v>
      </c>
      <c r="B21" s="2" t="s">
        <v>224</v>
      </c>
      <c r="C21" s="24" t="n">
        <v>0.00612041061318907</v>
      </c>
      <c r="D21" s="24" t="n">
        <v>0.0115861671553232</v>
      </c>
      <c r="E21" s="24" t="n">
        <v>0.0210279504406179</v>
      </c>
      <c r="F21" s="24" t="n">
        <v>0.0258103918344016</v>
      </c>
      <c r="G21" s="24" t="n">
        <v>0.0420201231976632</v>
      </c>
      <c r="H21" s="24" t="n">
        <v>0.0605903416629194</v>
      </c>
      <c r="I21" s="24" t="n">
        <v>0.0529888125142474</v>
      </c>
      <c r="J21" s="24" t="n">
        <v>0.0730292707612326</v>
      </c>
      <c r="K21" s="24" t="n">
        <v>0.0905809606436731</v>
      </c>
    </row>
    <row r="22" customFormat="false" ht="15" hidden="false" customHeight="false" outlineLevel="0" collapsed="false">
      <c r="A22" s="5" t="s">
        <v>625</v>
      </c>
      <c r="B22" s="2" t="s">
        <v>228</v>
      </c>
      <c r="C22" s="24" t="n">
        <v>0.00370083237794322</v>
      </c>
      <c r="D22" s="24" t="n">
        <v>0.00778627804638792</v>
      </c>
      <c r="E22" s="24" t="n">
        <v>0.0151685729287798</v>
      </c>
      <c r="F22" s="24" t="n">
        <v>0.0161707609602152</v>
      </c>
      <c r="G22" s="24" t="n">
        <v>0.027511094033443</v>
      </c>
      <c r="H22" s="24" t="n">
        <v>0.0435283815281063</v>
      </c>
      <c r="I22" s="24" t="n">
        <v>0.0312184076545483</v>
      </c>
      <c r="J22" s="24" t="n">
        <v>0.0488761822729748</v>
      </c>
      <c r="K22" s="24" t="n">
        <v>0.0689245889388951</v>
      </c>
    </row>
    <row r="23" customFormat="false" ht="15" hidden="false" customHeight="false" outlineLevel="0" collapsed="false">
      <c r="A23" s="5" t="s">
        <v>625</v>
      </c>
      <c r="B23" s="2" t="s">
        <v>231</v>
      </c>
      <c r="C23" s="24" t="n">
        <v>0.0493263993956593</v>
      </c>
      <c r="D23" s="24" t="n">
        <v>0.0893405174390761</v>
      </c>
      <c r="E23" s="24" t="n">
        <v>0.154508606977411</v>
      </c>
      <c r="F23" s="24" t="n">
        <v>0.217408706582589</v>
      </c>
      <c r="G23" s="24" t="n">
        <v>0.32284307621292</v>
      </c>
      <c r="H23" s="24" t="n">
        <v>0.417492826646543</v>
      </c>
      <c r="I23" s="24" t="n">
        <v>0.52471746487503</v>
      </c>
      <c r="J23" s="24" t="n">
        <v>0.546095557803367</v>
      </c>
      <c r="K23" s="24" t="n">
        <v>0.560995803912079</v>
      </c>
    </row>
    <row r="24" customFormat="false" ht="15" hidden="false" customHeight="false" outlineLevel="0" collapsed="false">
      <c r="A24" s="5" t="s">
        <v>625</v>
      </c>
      <c r="B24" s="2" t="s">
        <v>235</v>
      </c>
      <c r="C24" s="24" t="n">
        <v>0.000463042892837406</v>
      </c>
      <c r="D24" s="24" t="n">
        <v>0.00102483771618938</v>
      </c>
      <c r="E24" s="24" t="n">
        <v>0.00234288474021712</v>
      </c>
      <c r="F24" s="24" t="n">
        <v>0.00186234029004585</v>
      </c>
      <c r="G24" s="24" t="n">
        <v>0.00366235131047704</v>
      </c>
      <c r="H24" s="24" t="n">
        <v>0.00720408860100681</v>
      </c>
      <c r="I24" s="24" t="n">
        <v>0.00338453704174045</v>
      </c>
      <c r="J24" s="24" t="n">
        <v>0.00629654814157845</v>
      </c>
      <c r="K24" s="24" t="n">
        <v>0.0120993543656213</v>
      </c>
    </row>
    <row r="25" customFormat="false" ht="15" hidden="false" customHeight="false" outlineLevel="0" collapsed="false">
      <c r="A25" s="5" t="s">
        <v>625</v>
      </c>
      <c r="B25" s="2" t="s">
        <v>238</v>
      </c>
      <c r="C25" s="24" t="n">
        <v>0.000438583432195721</v>
      </c>
      <c r="D25" s="24" t="n">
        <v>0.000970702390561888</v>
      </c>
      <c r="E25" s="24" t="n">
        <v>0.00221912580129855</v>
      </c>
      <c r="F25" s="24" t="n">
        <v>0.00176396530204707</v>
      </c>
      <c r="G25" s="24" t="n">
        <v>0.00346889377312943</v>
      </c>
      <c r="H25" s="24" t="n">
        <v>0.00682354475869497</v>
      </c>
      <c r="I25" s="24" t="n">
        <v>0.00320575457505471</v>
      </c>
      <c r="J25" s="24" t="n">
        <v>0.0059639435949377</v>
      </c>
      <c r="K25" s="24" t="n">
        <v>0.0114602263572369</v>
      </c>
    </row>
    <row r="26" customFormat="false" ht="15" hidden="false" customHeight="false" outlineLevel="0" collapsed="false">
      <c r="A26" s="5" t="s">
        <v>625</v>
      </c>
      <c r="B26" s="2" t="s">
        <v>239</v>
      </c>
      <c r="C26" s="24" t="n">
        <v>5.70630189401228E-005</v>
      </c>
      <c r="D26" s="24" t="n">
        <v>0.00012829965689681</v>
      </c>
      <c r="E26" s="24" t="n">
        <v>0.000285718948324976</v>
      </c>
      <c r="F26" s="24" t="n">
        <v>0.000227357708092674</v>
      </c>
      <c r="G26" s="24" t="n">
        <v>0.000452704303092321</v>
      </c>
      <c r="H26" s="24" t="n">
        <v>0.000902403190065161</v>
      </c>
      <c r="I26" s="24" t="n">
        <v>0.000413594929075882</v>
      </c>
      <c r="J26" s="24" t="n">
        <v>0.00078615163607935</v>
      </c>
      <c r="K26" s="24" t="n">
        <v>0.00149246574281501</v>
      </c>
    </row>
    <row r="27" customFormat="false" ht="15" hidden="false" customHeight="false" outlineLevel="0" collapsed="false">
      <c r="A27" s="5" t="s">
        <v>625</v>
      </c>
      <c r="B27" s="2" t="s">
        <v>242</v>
      </c>
      <c r="C27" s="24" t="n">
        <v>8.50840242645966E-005</v>
      </c>
      <c r="D27" s="24" t="n">
        <v>0.000191301675293454</v>
      </c>
      <c r="E27" s="24" t="n">
        <v>0.000426022288754934</v>
      </c>
      <c r="F27" s="24" t="n">
        <v>0.000339002546857864</v>
      </c>
      <c r="G27" s="24" t="n">
        <v>0.000675006416141632</v>
      </c>
      <c r="H27" s="24" t="n">
        <v>0.00134553159552459</v>
      </c>
      <c r="I27" s="24" t="n">
        <v>0.000616692240172787</v>
      </c>
      <c r="J27" s="24" t="n">
        <v>0.00117219428838869</v>
      </c>
      <c r="K27" s="24" t="n">
        <v>0.00222534653501244</v>
      </c>
    </row>
    <row r="28" customFormat="false" ht="15" hidden="false" customHeight="false" outlineLevel="0" collapsed="false">
      <c r="A28" s="5" t="s">
        <v>625</v>
      </c>
      <c r="B28" s="2" t="s">
        <v>244</v>
      </c>
      <c r="C28" s="24" t="n">
        <v>9.45378047384407E-005</v>
      </c>
      <c r="D28" s="24" t="n">
        <v>0.000212557416992727</v>
      </c>
      <c r="E28" s="24" t="n">
        <v>0.000473358098616594</v>
      </c>
      <c r="F28" s="24" t="n">
        <v>0.000376669496508737</v>
      </c>
      <c r="G28" s="24" t="n">
        <v>0.000750007129046258</v>
      </c>
      <c r="H28" s="24" t="n">
        <v>0.00149503510613844</v>
      </c>
      <c r="I28" s="24" t="n">
        <v>0.000685213600191986</v>
      </c>
      <c r="J28" s="24" t="n">
        <v>0.00130243809820966</v>
      </c>
      <c r="K28" s="24" t="n">
        <v>0.00247260726112493</v>
      </c>
    </row>
    <row r="29" customFormat="false" ht="15" hidden="false" customHeight="false" outlineLevel="0" collapsed="false">
      <c r="A29" s="5" t="s">
        <v>625</v>
      </c>
      <c r="B29" s="2" t="s">
        <v>246</v>
      </c>
      <c r="C29" s="24" t="n">
        <v>0.00274987310327405</v>
      </c>
      <c r="D29" s="24" t="n">
        <v>0.00512390452968233</v>
      </c>
      <c r="E29" s="24" t="n">
        <v>0.00954050619970601</v>
      </c>
      <c r="F29" s="24" t="n">
        <v>0.0114016728690495</v>
      </c>
      <c r="G29" s="24" t="n">
        <v>0.0184372253880339</v>
      </c>
      <c r="H29" s="24" t="n">
        <v>0.0281716862465007</v>
      </c>
      <c r="I29" s="24" t="n">
        <v>0.0220489672673138</v>
      </c>
      <c r="J29" s="24" t="n">
        <v>0.0317780698672998</v>
      </c>
      <c r="K29" s="24" t="n">
        <v>0.0449824523157302</v>
      </c>
    </row>
    <row r="30" customFormat="false" ht="15" hidden="false" customHeight="false" outlineLevel="0" collapsed="false">
      <c r="A30" s="5" t="s">
        <v>625</v>
      </c>
      <c r="B30" s="2" t="s">
        <v>250</v>
      </c>
      <c r="C30" s="24" t="n">
        <v>0.00201187542909634</v>
      </c>
      <c r="D30" s="24" t="n">
        <v>0.0045538079175351</v>
      </c>
      <c r="E30" s="24" t="n">
        <v>0.00955356145885266</v>
      </c>
      <c r="F30" s="24" t="n">
        <v>0.00824312555663661</v>
      </c>
      <c r="G30" s="24" t="n">
        <v>0.0161411561475526</v>
      </c>
      <c r="H30" s="24" t="n">
        <v>0.0299344382823674</v>
      </c>
      <c r="I30" s="24" t="n">
        <v>0.0154938440656108</v>
      </c>
      <c r="J30" s="24" t="n">
        <v>0.0280883149323786</v>
      </c>
      <c r="K30" s="24" t="n">
        <v>0.0493745527969798</v>
      </c>
    </row>
    <row r="31" customFormat="false" ht="15" hidden="false" customHeight="false" outlineLevel="0" collapsed="false">
      <c r="A31" s="5" t="s">
        <v>625</v>
      </c>
      <c r="B31" s="2" t="s">
        <v>624</v>
      </c>
      <c r="C31" s="24" t="n">
        <v>0.0914865780769227</v>
      </c>
      <c r="D31" s="24" t="n">
        <v>0.164104017162739</v>
      </c>
      <c r="E31" s="24" t="n">
        <v>0.281307738861451</v>
      </c>
      <c r="F31" s="24" t="n">
        <v>0.404010748871868</v>
      </c>
      <c r="G31" s="24" t="n">
        <v>0.594824316911659</v>
      </c>
      <c r="H31" s="24" t="n">
        <v>0.763848623612027</v>
      </c>
    </row>
    <row r="33" customFormat="false" ht="15" hidden="false" customHeight="false" outlineLevel="0" collapsed="false">
      <c r="A33" s="5" t="s">
        <v>55</v>
      </c>
      <c r="B33" s="2" t="s">
        <v>351</v>
      </c>
      <c r="C33" s="24" t="n">
        <v>0.0294411226108286</v>
      </c>
      <c r="D33" s="24" t="n">
        <v>0.0566472643202311</v>
      </c>
      <c r="E33" s="24" t="n">
        <v>0.103397749373292</v>
      </c>
      <c r="F33" s="24" t="n">
        <v>0.128916025810483</v>
      </c>
      <c r="G33" s="24" t="n">
        <v>0.187189479882108</v>
      </c>
      <c r="H33" s="24" t="n">
        <v>0.265387169111352</v>
      </c>
      <c r="I33" s="24" t="n">
        <v>0.315490977161363</v>
      </c>
      <c r="J33" s="24" t="n">
        <v>0.416197886200803</v>
      </c>
      <c r="K33" s="24" t="n">
        <v>0.516600968667805</v>
      </c>
    </row>
    <row r="34" customFormat="false" ht="23.85" hidden="false" customHeight="false" outlineLevel="0" collapsed="false">
      <c r="A34" s="5" t="s">
        <v>55</v>
      </c>
      <c r="B34" s="2" t="s">
        <v>355</v>
      </c>
      <c r="C34" s="24" t="n">
        <v>0.0140584568859079</v>
      </c>
      <c r="D34" s="24" t="n">
        <v>0.0313100507841802</v>
      </c>
      <c r="E34" s="24" t="n">
        <v>0.0646452194977488</v>
      </c>
      <c r="F34" s="24" t="n">
        <v>0.0597424808608224</v>
      </c>
      <c r="G34" s="24" t="n">
        <v>0.105893037429708</v>
      </c>
      <c r="H34" s="24" t="n">
        <v>0.175756296644529</v>
      </c>
      <c r="I34" s="24" t="n">
        <v>0.147209241691933</v>
      </c>
      <c r="J34" s="24" t="n">
        <v>0.236057025592976</v>
      </c>
      <c r="K34" s="24" t="n">
        <v>0.343955581420475</v>
      </c>
    </row>
    <row r="35" customFormat="false" ht="15" hidden="false" customHeight="false" outlineLevel="0" collapsed="false">
      <c r="A35" s="5" t="s">
        <v>55</v>
      </c>
      <c r="B35" s="2" t="s">
        <v>358</v>
      </c>
      <c r="C35" s="24" t="n">
        <v>0.0026289431360491</v>
      </c>
      <c r="D35" s="24" t="n">
        <v>0.00585500555049739</v>
      </c>
      <c r="E35" s="24" t="n">
        <v>0.0120887098389404</v>
      </c>
      <c r="F35" s="24" t="n">
        <v>0.0111718936341469</v>
      </c>
      <c r="G35" s="24" t="n">
        <v>0.0198020861155305</v>
      </c>
      <c r="H35" s="24" t="n">
        <v>0.0328665737236213</v>
      </c>
      <c r="I35" s="24" t="n">
        <v>0.0275282506927862</v>
      </c>
      <c r="J35" s="24" t="n">
        <v>0.0441428602146858</v>
      </c>
      <c r="K35" s="24" t="n">
        <v>0.0643199799394439</v>
      </c>
    </row>
    <row r="36" customFormat="false" ht="15" hidden="false" customHeight="false" outlineLevel="0" collapsed="false">
      <c r="A36" s="5" t="s">
        <v>55</v>
      </c>
      <c r="B36" s="2" t="s">
        <v>359</v>
      </c>
      <c r="C36" s="24" t="n">
        <v>0.0195591794993314</v>
      </c>
      <c r="D36" s="24" t="n">
        <v>0.0365517008169951</v>
      </c>
      <c r="E36" s="24" t="n">
        <v>0.0663166208522274</v>
      </c>
      <c r="F36" s="24" t="n">
        <v>0.0822978234168234</v>
      </c>
      <c r="G36" s="24" t="n">
        <v>0.122343144581495</v>
      </c>
      <c r="H36" s="24" t="n">
        <v>0.17576388330251</v>
      </c>
      <c r="I36" s="24" t="n">
        <v>0.194932337265283</v>
      </c>
      <c r="J36" s="24" t="n">
        <v>0.266691078947384</v>
      </c>
      <c r="K36" s="24" t="n">
        <v>0.360055794634756</v>
      </c>
    </row>
    <row r="37" customFormat="false" ht="15" hidden="false" customHeight="false" outlineLevel="0" collapsed="false">
      <c r="A37" s="5" t="s">
        <v>55</v>
      </c>
      <c r="B37" s="2" t="s">
        <v>362</v>
      </c>
      <c r="C37" s="24" t="n">
        <v>0.000158225938415751</v>
      </c>
      <c r="D37" s="24" t="n">
        <v>0.000348715688540548</v>
      </c>
      <c r="E37" s="24" t="n">
        <v>0.000769820287314184</v>
      </c>
      <c r="F37" s="24" t="n">
        <v>0.000609649016168173</v>
      </c>
      <c r="G37" s="24" t="n">
        <v>0.00116995508933485</v>
      </c>
      <c r="H37" s="24" t="n">
        <v>0.00216884612762779</v>
      </c>
      <c r="I37" s="24" t="n">
        <v>0.00140666285647304</v>
      </c>
      <c r="J37" s="24" t="n">
        <v>0.00256072835572215</v>
      </c>
      <c r="K37" s="24" t="n">
        <v>0.00457373393393014</v>
      </c>
    </row>
    <row r="38" customFormat="false" ht="15" hidden="false" customHeight="false" outlineLevel="0" collapsed="false">
      <c r="A38" s="5" t="s">
        <v>55</v>
      </c>
      <c r="B38" s="2" t="s">
        <v>365</v>
      </c>
      <c r="C38" s="24" t="n">
        <v>0.00034900121273417</v>
      </c>
      <c r="D38" s="24" t="n">
        <v>0.00076916717586658</v>
      </c>
      <c r="E38" s="24" t="n">
        <v>0.00169800360516157</v>
      </c>
      <c r="F38" s="24" t="n">
        <v>0.0013447115442338</v>
      </c>
      <c r="G38" s="24" t="n">
        <v>0.00258058665419</v>
      </c>
      <c r="H38" s="24" t="n">
        <v>0.00478385488722472</v>
      </c>
      <c r="I38" s="24" t="n">
        <v>0.00310269635770625</v>
      </c>
      <c r="J38" s="24" t="n">
        <v>0.00564823511604999</v>
      </c>
      <c r="K38" s="24" t="n">
        <v>0.0100883502771259</v>
      </c>
    </row>
    <row r="39" customFormat="false" ht="15" hidden="false" customHeight="false" outlineLevel="0" collapsed="false">
      <c r="A39" s="5" t="s">
        <v>55</v>
      </c>
      <c r="B39" s="2" t="s">
        <v>366</v>
      </c>
      <c r="C39" s="24" t="n">
        <v>0.000735072502468602</v>
      </c>
      <c r="D39" s="24" t="n">
        <v>0.00162003345590552</v>
      </c>
      <c r="E39" s="24" t="n">
        <v>0.00357636510620818</v>
      </c>
      <c r="F39" s="24" t="n">
        <v>0.00283225514368414</v>
      </c>
      <c r="G39" s="24" t="n">
        <v>0.00543527707216702</v>
      </c>
      <c r="H39" s="24" t="n">
        <v>0.0100758394386365</v>
      </c>
      <c r="I39" s="24" t="n">
        <v>0.00653495372750047</v>
      </c>
      <c r="J39" s="24" t="n">
        <v>0.011896412304012</v>
      </c>
      <c r="K39" s="24" t="n">
        <v>0.0212482610759154</v>
      </c>
    </row>
    <row r="40" customFormat="false" ht="15" hidden="false" customHeight="false" outlineLevel="0" collapsed="false">
      <c r="A40" s="5" t="s">
        <v>55</v>
      </c>
      <c r="B40" s="2" t="s">
        <v>367</v>
      </c>
      <c r="C40" s="24" t="n">
        <v>0.000124772454293563</v>
      </c>
      <c r="D40" s="24" t="n">
        <v>0.000274987228677689</v>
      </c>
      <c r="E40" s="24" t="n">
        <v>0.000607058283710614</v>
      </c>
      <c r="F40" s="24" t="n">
        <v>0.000480751795606902</v>
      </c>
      <c r="G40" s="24" t="n">
        <v>0.000922593156161192</v>
      </c>
      <c r="H40" s="24" t="n">
        <v>0.00171029008921506</v>
      </c>
      <c r="I40" s="24" t="n">
        <v>0.00110925413824731</v>
      </c>
      <c r="J40" s="24" t="n">
        <v>0.00201931721765518</v>
      </c>
      <c r="K40" s="24" t="n">
        <v>0.00360671590218491</v>
      </c>
    </row>
    <row r="41" customFormat="false" ht="15" hidden="false" customHeight="false" outlineLevel="0" collapsed="false">
      <c r="A41" s="5" t="s">
        <v>55</v>
      </c>
      <c r="B41" s="2" t="s">
        <v>624</v>
      </c>
      <c r="C41" s="24" t="n">
        <v>0.0737309200229111</v>
      </c>
      <c r="D41" s="24" t="n">
        <v>0.138414234790463</v>
      </c>
      <c r="E41" s="24" t="n">
        <v>0.238291294625873</v>
      </c>
      <c r="F41" s="24" t="n">
        <v>0.343136743496598</v>
      </c>
      <c r="G41" s="24" t="n">
        <v>0.465449800167855</v>
      </c>
      <c r="H41" s="24" t="n">
        <v>0.588376718046242</v>
      </c>
    </row>
    <row r="43" customFormat="false" ht="15" hidden="false" customHeight="false" outlineLevel="0" collapsed="false">
      <c r="A43" s="5" t="s">
        <v>626</v>
      </c>
      <c r="B43" s="2" t="s">
        <v>407</v>
      </c>
      <c r="C43" s="24" t="n">
        <v>0.020023018719751</v>
      </c>
      <c r="D43" s="24" t="n">
        <v>0.0379207862778355</v>
      </c>
      <c r="E43" s="24" t="n">
        <v>0.0736869465810933</v>
      </c>
      <c r="F43" s="24" t="n">
        <v>0.357656302109708</v>
      </c>
      <c r="G43" s="24" t="n">
        <v>0.450247726556192</v>
      </c>
      <c r="H43" s="24" t="n">
        <v>0.53030575563725</v>
      </c>
      <c r="I43" s="24" t="n">
        <v>0.679870756856667</v>
      </c>
      <c r="J43" s="24" t="n">
        <v>0.679928960075894</v>
      </c>
      <c r="K43" s="24" t="n">
        <v>0.67996320904903</v>
      </c>
    </row>
    <row r="44" customFormat="false" ht="15" hidden="false" customHeight="false" outlineLevel="0" collapsed="false">
      <c r="A44" s="5" t="s">
        <v>626</v>
      </c>
      <c r="B44" s="2" t="s">
        <v>410</v>
      </c>
      <c r="C44" s="24" t="n">
        <v>0.00603046210853676</v>
      </c>
      <c r="D44" s="24" t="n">
        <v>0.0114208485730893</v>
      </c>
      <c r="E44" s="24" t="n">
        <v>0.0221927744997175</v>
      </c>
      <c r="F44" s="24" t="n">
        <v>0.107717662753042</v>
      </c>
      <c r="G44" s="24" t="n">
        <v>0.135604021174571</v>
      </c>
      <c r="H44" s="24" t="n">
        <v>0.159715615815454</v>
      </c>
      <c r="I44" s="24" t="n">
        <v>0.204761075006243</v>
      </c>
      <c r="J44" s="24" t="n">
        <v>0.204778604446387</v>
      </c>
      <c r="K44" s="24" t="n">
        <v>0.204788919431237</v>
      </c>
    </row>
    <row r="45" customFormat="false" ht="15" hidden="false" customHeight="false" outlineLevel="0" collapsed="false">
      <c r="A45" s="5" t="s">
        <v>626</v>
      </c>
      <c r="B45" s="2" t="s">
        <v>413</v>
      </c>
      <c r="C45" s="24" t="n">
        <v>0.00107054418311874</v>
      </c>
      <c r="D45" s="24" t="n">
        <v>0.00245225406516576</v>
      </c>
      <c r="E45" s="24" t="n">
        <v>0.00524395869811557</v>
      </c>
      <c r="F45" s="24" t="n">
        <v>0.0162609921456999</v>
      </c>
      <c r="G45" s="24" t="n">
        <v>0.0284035245335244</v>
      </c>
      <c r="H45" s="24" t="n">
        <v>0.0451672711664797</v>
      </c>
      <c r="I45" s="24" t="n">
        <v>0.0253195007100159</v>
      </c>
      <c r="J45" s="24" t="n">
        <v>0.044448943441416</v>
      </c>
      <c r="K45" s="24" t="n">
        <v>0.0679907592904007</v>
      </c>
    </row>
    <row r="46" customFormat="false" ht="15" hidden="false" customHeight="false" outlineLevel="0" collapsed="false">
      <c r="A46" s="5" t="s">
        <v>626</v>
      </c>
      <c r="B46" s="2" t="s">
        <v>400</v>
      </c>
      <c r="C46" s="24" t="n">
        <v>0.00180875720715229</v>
      </c>
      <c r="D46" s="24" t="n">
        <v>0.0037869015096532</v>
      </c>
      <c r="E46" s="24" t="n">
        <v>0.00791027043473266</v>
      </c>
      <c r="F46" s="24" t="n">
        <v>0.0289216384942952</v>
      </c>
      <c r="G46" s="24" t="n">
        <v>0.0453772625551524</v>
      </c>
      <c r="H46" s="24" t="n">
        <v>0.0632743841761673</v>
      </c>
      <c r="I46" s="24" t="n">
        <v>0.0471790304310369</v>
      </c>
      <c r="J46" s="24" t="n">
        <v>0.070732317096431</v>
      </c>
      <c r="K46" s="24" t="n">
        <v>0.0898725808755569</v>
      </c>
    </row>
    <row r="47" customFormat="false" ht="15" hidden="false" customHeight="false" outlineLevel="0" collapsed="false">
      <c r="A47" s="5" t="s">
        <v>626</v>
      </c>
      <c r="B47" s="2" t="s">
        <v>417</v>
      </c>
      <c r="C47" s="24" t="n">
        <v>2.53891672289371E-006</v>
      </c>
      <c r="D47" s="24" t="n">
        <v>5.83567902800613E-006</v>
      </c>
      <c r="E47" s="24" t="n">
        <v>1.33102937968125E-005</v>
      </c>
      <c r="F47" s="24" t="n">
        <v>3.55754524324672E-005</v>
      </c>
      <c r="G47" s="24" t="n">
        <v>6.82703432389405E-005</v>
      </c>
      <c r="H47" s="24" t="n">
        <v>0.000120442405522713</v>
      </c>
      <c r="I47" s="24" t="n">
        <v>5.4104339661303E-005</v>
      </c>
      <c r="J47" s="24" t="n">
        <v>0.000104470476625938</v>
      </c>
      <c r="K47" s="24" t="n">
        <v>0.000190063446078046</v>
      </c>
    </row>
    <row r="48" customFormat="false" ht="15" hidden="false" customHeight="false" outlineLevel="0" collapsed="false">
      <c r="A48" s="5" t="s">
        <v>626</v>
      </c>
      <c r="B48" s="2" t="s">
        <v>624</v>
      </c>
      <c r="C48" s="24" t="n">
        <v>0.029447976593861</v>
      </c>
      <c r="D48" s="24" t="n">
        <v>0.055771323955448</v>
      </c>
      <c r="E48" s="24" t="n">
        <v>0.108371175336357</v>
      </c>
      <c r="F48" s="24" t="n">
        <v>0.526020799097851</v>
      </c>
      <c r="G48" s="24" t="n">
        <v>0.662184196827059</v>
      </c>
      <c r="H48" s="24" t="n">
        <v>0.779943518973865</v>
      </c>
    </row>
    <row r="50" customFormat="false" ht="15" hidden="false" customHeight="false" outlineLevel="0" collapsed="false">
      <c r="A50" s="5" t="s">
        <v>627</v>
      </c>
      <c r="B50" s="2" t="s">
        <v>407</v>
      </c>
      <c r="C50" s="24" t="n">
        <v>0.0204725149935168</v>
      </c>
      <c r="D50" s="24" t="n">
        <v>0.0392178264148258</v>
      </c>
      <c r="E50" s="24" t="n">
        <v>0.0764883561734217</v>
      </c>
      <c r="F50" s="24" t="n">
        <v>0.359227809850458</v>
      </c>
      <c r="G50" s="24" t="n">
        <v>0.456320369166686</v>
      </c>
      <c r="H50" s="24" t="n">
        <v>0.532315789995273</v>
      </c>
      <c r="I50" s="24" t="n">
        <v>0.679947828467293</v>
      </c>
      <c r="J50" s="24" t="n">
        <v>0.679973374840987</v>
      </c>
      <c r="K50" s="24" t="n">
        <v>0.679985528538738</v>
      </c>
    </row>
    <row r="51" customFormat="false" ht="15" hidden="false" customHeight="false" outlineLevel="0" collapsed="false">
      <c r="A51" s="5" t="s">
        <v>627</v>
      </c>
      <c r="B51" s="2" t="s">
        <v>410</v>
      </c>
      <c r="C51" s="24" t="n">
        <v>0.00616583980981211</v>
      </c>
      <c r="D51" s="24" t="n">
        <v>0.0118114865437593</v>
      </c>
      <c r="E51" s="24" t="n">
        <v>0.023036493153407</v>
      </c>
      <c r="F51" s="24" t="n">
        <v>0.108190963907903</v>
      </c>
      <c r="G51" s="24" t="n">
        <v>0.137432958243143</v>
      </c>
      <c r="H51" s="24" t="n">
        <v>0.160320990869165</v>
      </c>
      <c r="I51" s="24" t="n">
        <v>0.204784287161914</v>
      </c>
      <c r="J51" s="24" t="n">
        <v>0.20479198112858</v>
      </c>
      <c r="K51" s="24" t="n">
        <v>0.204795641536373</v>
      </c>
    </row>
    <row r="52" customFormat="false" ht="15" hidden="false" customHeight="false" outlineLevel="0" collapsed="false">
      <c r="A52" s="5" t="s">
        <v>627</v>
      </c>
      <c r="B52" s="2" t="s">
        <v>413</v>
      </c>
      <c r="C52" s="24" t="n">
        <v>0.000653140590403718</v>
      </c>
      <c r="D52" s="24" t="n">
        <v>0.00156633789398092</v>
      </c>
      <c r="E52" s="24" t="n">
        <v>0.00360980505577938</v>
      </c>
      <c r="F52" s="24" t="n">
        <v>0.00903210934240302</v>
      </c>
      <c r="G52" s="24" t="n">
        <v>0.0183542130127691</v>
      </c>
      <c r="H52" s="24" t="n">
        <v>0.0317774651879047</v>
      </c>
      <c r="I52" s="24" t="n">
        <v>0.0138055649586203</v>
      </c>
      <c r="J52" s="24" t="n">
        <v>0.0281372503027147</v>
      </c>
      <c r="K52" s="24" t="n">
        <v>0.0485601925262808</v>
      </c>
    </row>
    <row r="53" customFormat="false" ht="15" hidden="false" customHeight="false" outlineLevel="0" collapsed="false">
      <c r="A53" s="5" t="s">
        <v>627</v>
      </c>
      <c r="B53" s="2" t="s">
        <v>400</v>
      </c>
      <c r="C53" s="24" t="n">
        <v>0.00238571460401695</v>
      </c>
      <c r="D53" s="24" t="n">
        <v>0.00484797361932595</v>
      </c>
      <c r="E53" s="24" t="n">
        <v>0.00976279951108536</v>
      </c>
      <c r="F53" s="24" t="n">
        <v>0.0396989978405602</v>
      </c>
      <c r="G53" s="24" t="n">
        <v>0.0566932912343863</v>
      </c>
      <c r="H53" s="24" t="n">
        <v>0.0733953143027064</v>
      </c>
      <c r="I53" s="24" t="n">
        <v>0.0666365421771295</v>
      </c>
      <c r="J53" s="24" t="n">
        <v>0.0870582864596775</v>
      </c>
      <c r="K53" s="24" t="n">
        <v>0.101391501451402</v>
      </c>
    </row>
    <row r="54" customFormat="false" ht="15" hidden="false" customHeight="false" outlineLevel="0" collapsed="false">
      <c r="A54" s="5" t="s">
        <v>627</v>
      </c>
      <c r="B54" s="2" t="s">
        <v>417</v>
      </c>
      <c r="C54" s="24" t="n">
        <v>9.78662176889882E-007</v>
      </c>
      <c r="D54" s="24" t="n">
        <v>2.32791490377006E-006</v>
      </c>
      <c r="E54" s="24" t="n">
        <v>5.35572774803312E-006</v>
      </c>
      <c r="F54" s="24" t="n">
        <v>1.42587939187748E-005</v>
      </c>
      <c r="G54" s="24" t="n">
        <v>2.57754447472331E-005</v>
      </c>
      <c r="H54" s="24" t="n">
        <v>4.93464529899241E-005</v>
      </c>
      <c r="I54" s="24" t="n">
        <v>2.12815606794358E-005</v>
      </c>
      <c r="J54" s="24" t="n">
        <v>3.91546456079443E-005</v>
      </c>
      <c r="K54" s="24" t="n">
        <v>7.67228422162612E-005</v>
      </c>
    </row>
    <row r="55" customFormat="false" ht="15" hidden="false" customHeight="false" outlineLevel="0" collapsed="false">
      <c r="A55" s="5" t="s">
        <v>627</v>
      </c>
      <c r="B55" s="2" t="s">
        <v>624</v>
      </c>
      <c r="C55" s="24" t="n">
        <v>0.0301077072298572</v>
      </c>
      <c r="D55" s="24" t="n">
        <v>0.0576770528581072</v>
      </c>
      <c r="E55" s="24" t="n">
        <v>0.112492342522182</v>
      </c>
      <c r="F55" s="24" t="n">
        <v>0.528297603824443</v>
      </c>
      <c r="G55" s="24" t="n">
        <v>0.671091136373221</v>
      </c>
      <c r="H55" s="24" t="n">
        <v>0.782847293032556</v>
      </c>
    </row>
    <row r="57" customFormat="false" ht="15" hidden="false" customHeight="false" outlineLevel="0" collapsed="false">
      <c r="A57" s="5" t="s">
        <v>69</v>
      </c>
      <c r="B57" s="2" t="s">
        <v>456</v>
      </c>
      <c r="C57" s="24" t="n">
        <v>0.0261590057833038</v>
      </c>
      <c r="D57" s="24" t="n">
        <v>0.0509204331455719</v>
      </c>
      <c r="E57" s="24" t="n">
        <v>0.0959894408504033</v>
      </c>
      <c r="F57" s="24" t="n">
        <v>0.115621004288552</v>
      </c>
      <c r="G57" s="24" t="n">
        <v>0.222242880284682</v>
      </c>
      <c r="H57" s="24" t="n">
        <v>0.369113160464271</v>
      </c>
      <c r="I57" s="24" t="n">
        <v>0.435410594250396</v>
      </c>
      <c r="J57" s="24" t="n">
        <v>0.540503231534067</v>
      </c>
      <c r="K57" s="24" t="n">
        <v>0.623897148780236</v>
      </c>
    </row>
    <row r="58" customFormat="false" ht="15" hidden="false" customHeight="false" outlineLevel="0" collapsed="false">
      <c r="A58" s="5" t="s">
        <v>69</v>
      </c>
      <c r="B58" s="2" t="s">
        <v>459</v>
      </c>
      <c r="C58" s="24" t="n">
        <v>0.00553736198817062</v>
      </c>
      <c r="D58" s="24" t="n">
        <v>0.0107788833129675</v>
      </c>
      <c r="E58" s="24" t="n">
        <v>0.0203191315997961</v>
      </c>
      <c r="F58" s="24" t="n">
        <v>0.0244747586924796</v>
      </c>
      <c r="G58" s="24" t="n">
        <v>0.047044573774108</v>
      </c>
      <c r="H58" s="24" t="n">
        <v>0.0781342074320317</v>
      </c>
      <c r="I58" s="24" t="n">
        <v>0.092168108139178</v>
      </c>
      <c r="J58" s="24" t="n">
        <v>0.114414212587942</v>
      </c>
      <c r="K58" s="24" t="n">
        <v>0.132067112366661</v>
      </c>
    </row>
    <row r="59" customFormat="false" ht="15" hidden="false" customHeight="false" outlineLevel="0" collapsed="false">
      <c r="A59" s="5" t="s">
        <v>69</v>
      </c>
      <c r="B59" s="2" t="s">
        <v>460</v>
      </c>
      <c r="C59" s="24" t="n">
        <v>0.00743459356662241</v>
      </c>
      <c r="D59" s="24" t="n">
        <v>0.0176579410257878</v>
      </c>
      <c r="E59" s="24" t="n">
        <v>0.0403767359057534</v>
      </c>
      <c r="F59" s="24" t="n">
        <v>0.0348375401628613</v>
      </c>
      <c r="G59" s="24" t="n">
        <v>0.0782798603140566</v>
      </c>
      <c r="H59" s="24" t="n">
        <v>0.152192900891557</v>
      </c>
      <c r="I59" s="24" t="n">
        <v>0.111213989065304</v>
      </c>
      <c r="J59" s="24" t="n">
        <v>0.190261887695328</v>
      </c>
      <c r="K59" s="24" t="n">
        <v>0.303139012840002</v>
      </c>
    </row>
    <row r="60" customFormat="false" ht="15" hidden="false" customHeight="false" outlineLevel="0" collapsed="false">
      <c r="A60" s="5" t="s">
        <v>69</v>
      </c>
      <c r="B60" s="2" t="s">
        <v>461</v>
      </c>
      <c r="C60" s="24" t="n">
        <v>0.00421476825696705</v>
      </c>
      <c r="D60" s="24" t="n">
        <v>0.00972907518108112</v>
      </c>
      <c r="E60" s="24" t="n">
        <v>0.0226263392081341</v>
      </c>
      <c r="F60" s="24" t="n">
        <v>0.0191920347068933</v>
      </c>
      <c r="G60" s="24" t="n">
        <v>0.0419021783591348</v>
      </c>
      <c r="H60" s="24" t="n">
        <v>0.0862037540812549</v>
      </c>
      <c r="I60" s="24" t="n">
        <v>0.0550921118133946</v>
      </c>
      <c r="J60" s="24" t="n">
        <v>0.104607808761976</v>
      </c>
      <c r="K60" s="24" t="n">
        <v>0.183292400242338</v>
      </c>
    </row>
    <row r="61" customFormat="false" ht="23.85" hidden="false" customHeight="false" outlineLevel="0" collapsed="false">
      <c r="A61" s="5" t="s">
        <v>69</v>
      </c>
      <c r="B61" s="2" t="s">
        <v>464</v>
      </c>
      <c r="C61" s="24" t="n">
        <v>0.000274880633062314</v>
      </c>
      <c r="D61" s="24" t="n">
        <v>0.000621891269270726</v>
      </c>
      <c r="E61" s="24" t="n">
        <v>0.00139466098403806</v>
      </c>
      <c r="F61" s="24" t="n">
        <v>0.00118957617139342</v>
      </c>
      <c r="G61" s="24" t="n">
        <v>0.00264296510050591</v>
      </c>
      <c r="H61" s="24" t="n">
        <v>0.0055553816039523</v>
      </c>
      <c r="I61" s="24" t="n">
        <v>0.00348603080424744</v>
      </c>
      <c r="J61" s="24" t="n">
        <v>0.00641491201494105</v>
      </c>
      <c r="K61" s="24" t="n">
        <v>0.0125761245952612</v>
      </c>
    </row>
    <row r="62" customFormat="false" ht="15" hidden="false" customHeight="false" outlineLevel="0" collapsed="false">
      <c r="A62" s="5" t="s">
        <v>69</v>
      </c>
      <c r="B62" s="2" t="s">
        <v>467</v>
      </c>
      <c r="C62" s="24" t="n">
        <v>0.000323027368289451</v>
      </c>
      <c r="D62" s="24" t="n">
        <v>0.00074409575990527</v>
      </c>
      <c r="E62" s="24" t="n">
        <v>0.00173528467485832</v>
      </c>
      <c r="F62" s="24" t="n">
        <v>0.0014308940065531</v>
      </c>
      <c r="G62" s="24" t="n">
        <v>0.003156712258188</v>
      </c>
      <c r="H62" s="24" t="n">
        <v>0.0068544548434761</v>
      </c>
      <c r="I62" s="24" t="n">
        <v>0.0042588431250434</v>
      </c>
      <c r="J62" s="24" t="n">
        <v>0.00782576795001916</v>
      </c>
      <c r="K62" s="24" t="n">
        <v>0.0144431249508839</v>
      </c>
    </row>
    <row r="63" customFormat="false" ht="15" hidden="false" customHeight="false" outlineLevel="0" collapsed="false">
      <c r="A63" s="5" t="s">
        <v>69</v>
      </c>
      <c r="B63" s="2" t="s">
        <v>469</v>
      </c>
      <c r="C63" s="24" t="n">
        <v>0.000726811578651264</v>
      </c>
      <c r="D63" s="24" t="n">
        <v>0.00167421545978686</v>
      </c>
      <c r="E63" s="24" t="n">
        <v>0.00390439051843123</v>
      </c>
      <c r="F63" s="24" t="n">
        <v>0.00321951151474448</v>
      </c>
      <c r="G63" s="24" t="n">
        <v>0.00710260258092301</v>
      </c>
      <c r="H63" s="24" t="n">
        <v>0.0154225233978212</v>
      </c>
      <c r="I63" s="24" t="n">
        <v>0.00958239703134766</v>
      </c>
      <c r="J63" s="24" t="n">
        <v>0.0176079778875431</v>
      </c>
      <c r="K63" s="24" t="n">
        <v>0.0324970311394888</v>
      </c>
    </row>
    <row r="64" customFormat="false" ht="15" hidden="false" customHeight="false" outlineLevel="0" collapsed="false">
      <c r="A64" s="5" t="s">
        <v>69</v>
      </c>
      <c r="B64" s="2" t="s">
        <v>471</v>
      </c>
      <c r="C64" s="24" t="n">
        <v>0.00011364928912777</v>
      </c>
      <c r="D64" s="24" t="n">
        <v>0.000267738617833681</v>
      </c>
      <c r="E64" s="24" t="n">
        <v>0.000596455538713774</v>
      </c>
      <c r="F64" s="24" t="n">
        <v>0.000509532340277662</v>
      </c>
      <c r="G64" s="24" t="n">
        <v>0.00113330950783404</v>
      </c>
      <c r="H64" s="24" t="n">
        <v>0.00240457005192111</v>
      </c>
      <c r="I64" s="24" t="n">
        <v>0.00149075460839264</v>
      </c>
      <c r="J64" s="24" t="n">
        <v>0.00275575934492906</v>
      </c>
      <c r="K64" s="24" t="n">
        <v>0.00520436178620665</v>
      </c>
    </row>
    <row r="65" customFormat="false" ht="15" hidden="false" customHeight="false" outlineLevel="0" collapsed="false">
      <c r="A65" s="5" t="s">
        <v>69</v>
      </c>
      <c r="B65" s="2" t="s">
        <v>624</v>
      </c>
      <c r="C65" s="24" t="n">
        <v>0.0509953300511973</v>
      </c>
      <c r="D65" s="24" t="n">
        <v>0.0957364277473595</v>
      </c>
      <c r="E65" s="24" t="n">
        <v>0.175257781681058</v>
      </c>
      <c r="F65" s="24" t="n">
        <v>0.228509341197583</v>
      </c>
      <c r="G65" s="24" t="n">
        <v>0.42511840660903</v>
      </c>
      <c r="H65" s="24" t="n">
        <v>0.661078406613286</v>
      </c>
    </row>
    <row r="67" customFormat="false" ht="15" hidden="false" customHeight="false" outlineLevel="0" collapsed="false">
      <c r="A67" s="5" t="s">
        <v>74</v>
      </c>
      <c r="B67" s="2" t="s">
        <v>509</v>
      </c>
      <c r="C67" s="24" t="n">
        <v>0.0392947845803523</v>
      </c>
      <c r="D67" s="24" t="n">
        <v>0.0701232931071873</v>
      </c>
      <c r="E67" s="24" t="n">
        <v>0.111999575895305</v>
      </c>
      <c r="F67" s="24" t="n">
        <v>0.103142681277105</v>
      </c>
      <c r="G67" s="24" t="n">
        <v>0.142660148470004</v>
      </c>
      <c r="H67" s="24" t="n">
        <v>0.187721721807292</v>
      </c>
      <c r="I67" s="24" t="n">
        <v>0.172397747458603</v>
      </c>
      <c r="J67" s="24" t="n">
        <v>0.229412000871006</v>
      </c>
      <c r="K67" s="24" t="n">
        <v>0.287814353746449</v>
      </c>
    </row>
    <row r="68" customFormat="false" ht="15" hidden="false" customHeight="false" outlineLevel="0" collapsed="false">
      <c r="A68" s="5" t="s">
        <v>74</v>
      </c>
      <c r="B68" s="2" t="s">
        <v>511</v>
      </c>
      <c r="C68" s="24" t="n">
        <v>0.0201201584691702</v>
      </c>
      <c r="D68" s="24" t="n">
        <v>0.0359053188550151</v>
      </c>
      <c r="E68" s="24" t="n">
        <v>0.057347285131069</v>
      </c>
      <c r="F68" s="24" t="n">
        <v>0.0528122781278232</v>
      </c>
      <c r="G68" s="24" t="n">
        <v>0.0730464570579937</v>
      </c>
      <c r="H68" s="24" t="n">
        <v>0.0961193917005646</v>
      </c>
      <c r="I68" s="24" t="n">
        <v>0.0882730376470731</v>
      </c>
      <c r="J68" s="24" t="n">
        <v>0.117466118253311</v>
      </c>
      <c r="K68" s="24" t="n">
        <v>0.147369949191065</v>
      </c>
    </row>
    <row r="69" customFormat="false" ht="15" hidden="false" customHeight="false" outlineLevel="0" collapsed="false">
      <c r="A69" s="5" t="s">
        <v>74</v>
      </c>
      <c r="B69" s="2" t="s">
        <v>512</v>
      </c>
      <c r="C69" s="24" t="n">
        <v>0.0136003774479044</v>
      </c>
      <c r="D69" s="24" t="n">
        <v>0.0242704792590882</v>
      </c>
      <c r="E69" s="24" t="n">
        <v>0.0387643429643077</v>
      </c>
      <c r="F69" s="24" t="n">
        <v>0.0356988697441271</v>
      </c>
      <c r="G69" s="24" t="n">
        <v>0.0493763202085668</v>
      </c>
      <c r="H69" s="24" t="n">
        <v>0.0649726496535175</v>
      </c>
      <c r="I69" s="24" t="n">
        <v>0.0596688456660442</v>
      </c>
      <c r="J69" s="24" t="n">
        <v>0.0794021353277686</v>
      </c>
      <c r="K69" s="24" t="n">
        <v>0.0996158621985066</v>
      </c>
    </row>
    <row r="70" customFormat="false" ht="15" hidden="false" customHeight="false" outlineLevel="0" collapsed="false">
      <c r="A70" s="5" t="s">
        <v>74</v>
      </c>
      <c r="B70" s="2" t="s">
        <v>513</v>
      </c>
      <c r="C70" s="24" t="n">
        <v>0.039047134482338</v>
      </c>
      <c r="D70" s="24" t="n">
        <v>0.0804261358079342</v>
      </c>
      <c r="E70" s="24" t="n">
        <v>0.156985875384122</v>
      </c>
      <c r="F70" s="24" t="n">
        <v>0.0953574620805092</v>
      </c>
      <c r="G70" s="24" t="n">
        <v>0.163870717309699</v>
      </c>
      <c r="H70" s="24" t="n">
        <v>0.269338808913564</v>
      </c>
      <c r="I70" s="24" t="n">
        <v>0.161442855259712</v>
      </c>
      <c r="J70" s="24" t="n">
        <v>0.265436963260242</v>
      </c>
      <c r="K70" s="24" t="n">
        <v>0.402149557434536</v>
      </c>
    </row>
    <row r="71" customFormat="false" ht="15" hidden="false" customHeight="false" outlineLevel="0" collapsed="false">
      <c r="A71" s="5" t="s">
        <v>74</v>
      </c>
      <c r="B71" s="2" t="s">
        <v>515</v>
      </c>
      <c r="C71" s="24" t="n">
        <v>0.0311800247832041</v>
      </c>
      <c r="D71" s="24" t="n">
        <v>0.0550481066452633</v>
      </c>
      <c r="E71" s="24" t="n">
        <v>0.0911651591390906</v>
      </c>
      <c r="F71" s="24" t="n">
        <v>0.0775799068723502</v>
      </c>
      <c r="G71" s="24" t="n">
        <v>0.113433410085968</v>
      </c>
      <c r="H71" s="24" t="n">
        <v>0.157818421618421</v>
      </c>
      <c r="I71" s="24" t="n">
        <v>0.125895476318829</v>
      </c>
      <c r="J71" s="24" t="n">
        <v>0.181488146991214</v>
      </c>
      <c r="K71" s="24" t="n">
        <v>0.249382882754831</v>
      </c>
    </row>
    <row r="72" customFormat="false" ht="15" hidden="false" customHeight="false" outlineLevel="0" collapsed="false">
      <c r="A72" s="5" t="s">
        <v>74</v>
      </c>
      <c r="B72" s="2" t="s">
        <v>517</v>
      </c>
      <c r="C72" s="24" t="n">
        <v>0.0107028293780404</v>
      </c>
      <c r="D72" s="24" t="n">
        <v>0.0223669242557963</v>
      </c>
      <c r="E72" s="24" t="n">
        <v>0.0441419611059108</v>
      </c>
      <c r="F72" s="24" t="n">
        <v>0.0245583478904288</v>
      </c>
      <c r="G72" s="24" t="n">
        <v>0.046001387521788</v>
      </c>
      <c r="H72" s="24" t="n">
        <v>0.0827429989813292</v>
      </c>
      <c r="I72" s="24" t="n">
        <v>0.0397121795560732</v>
      </c>
      <c r="J72" s="24" t="n">
        <v>0.0732340978183477</v>
      </c>
      <c r="K72" s="24" t="n">
        <v>0.128593685650072</v>
      </c>
    </row>
    <row r="73" customFormat="false" ht="15" hidden="false" customHeight="false" outlineLevel="0" collapsed="false">
      <c r="A73" s="5" t="s">
        <v>74</v>
      </c>
      <c r="B73" s="2" t="s">
        <v>520</v>
      </c>
      <c r="C73" s="24" t="n">
        <v>0.000600982334258526</v>
      </c>
      <c r="D73" s="24" t="n">
        <v>0.00128090950148374</v>
      </c>
      <c r="E73" s="24" t="n">
        <v>0.00254035561731094</v>
      </c>
      <c r="F73" s="24" t="n">
        <v>0.00143349448460893</v>
      </c>
      <c r="G73" s="24" t="n">
        <v>0.0025778551248903</v>
      </c>
      <c r="H73" s="24" t="n">
        <v>0.00479311971657541</v>
      </c>
      <c r="I73" s="24" t="n">
        <v>0.00227870820400512</v>
      </c>
      <c r="J73" s="24" t="n">
        <v>0.00414405037820521</v>
      </c>
      <c r="K73" s="24" t="n">
        <v>0.00765167061001325</v>
      </c>
    </row>
    <row r="74" customFormat="false" ht="15" hidden="false" customHeight="false" outlineLevel="0" collapsed="false">
      <c r="A74" s="5" t="s">
        <v>74</v>
      </c>
      <c r="B74" s="2" t="s">
        <v>522</v>
      </c>
      <c r="C74" s="24" t="n">
        <v>0.00348460373869777</v>
      </c>
      <c r="D74" s="24" t="n">
        <v>0.00742694382740984</v>
      </c>
      <c r="E74" s="24" t="n">
        <v>0.0147294390818077</v>
      </c>
      <c r="F74" s="24" t="n">
        <v>0.00831165902178105</v>
      </c>
      <c r="G74" s="24" t="n">
        <v>0.0149468679759059</v>
      </c>
      <c r="H74" s="24" t="n">
        <v>0.0277913707813246</v>
      </c>
      <c r="I74" s="24" t="n">
        <v>0.0132123602882174</v>
      </c>
      <c r="J74" s="24" t="n">
        <v>0.024027949938099</v>
      </c>
      <c r="K74" s="24" t="n">
        <v>0.0443657633428312</v>
      </c>
    </row>
    <row r="75" customFormat="false" ht="15" hidden="false" customHeight="false" outlineLevel="0" collapsed="false">
      <c r="A75" s="5" t="s">
        <v>74</v>
      </c>
      <c r="B75" s="2" t="s">
        <v>624</v>
      </c>
      <c r="C75" s="24" t="n">
        <v>0.187671984163813</v>
      </c>
      <c r="D75" s="24" t="n">
        <v>0.311597198819716</v>
      </c>
      <c r="E75" s="24" t="n">
        <v>0.471564622295363</v>
      </c>
      <c r="F75" s="24" t="n">
        <v>0.524018413555297</v>
      </c>
      <c r="G75" s="24" t="n">
        <v>0.636472657208901</v>
      </c>
      <c r="H75" s="24" t="n">
        <v>0.728368278747931</v>
      </c>
    </row>
    <row r="77" customFormat="false" ht="15" hidden="false" customHeight="false" outlineLevel="0" collapsed="false">
      <c r="A77" s="5" t="s">
        <v>81</v>
      </c>
      <c r="B77" s="2" t="s">
        <v>558</v>
      </c>
      <c r="C77" s="24" t="n">
        <v>0</v>
      </c>
      <c r="D77" s="24" t="n">
        <v>0</v>
      </c>
      <c r="E77" s="24" t="n">
        <v>0</v>
      </c>
      <c r="F77" s="24" t="n">
        <v>0.00717785930276779</v>
      </c>
      <c r="G77" s="24" t="n">
        <v>0.0334484032215282</v>
      </c>
      <c r="H77" s="24" t="n">
        <v>0.0632085913499623</v>
      </c>
      <c r="I77" s="24" t="n">
        <v>0.467505063663153</v>
      </c>
      <c r="J77" s="24" t="n">
        <v>0.510319733343107</v>
      </c>
      <c r="K77" s="24" t="n">
        <v>0.538366389376205</v>
      </c>
    </row>
    <row r="78" customFormat="false" ht="15" hidden="false" customHeight="false" outlineLevel="0" collapsed="false">
      <c r="A78" s="5" t="s">
        <v>81</v>
      </c>
      <c r="B78" s="2" t="s">
        <v>562</v>
      </c>
      <c r="C78" s="24" t="n">
        <v>0</v>
      </c>
      <c r="D78" s="24" t="n">
        <v>0</v>
      </c>
      <c r="E78" s="24" t="n">
        <v>0</v>
      </c>
      <c r="F78" s="24" t="n">
        <v>0.000759561830980718</v>
      </c>
      <c r="G78" s="24" t="n">
        <v>0.00353951356841568</v>
      </c>
      <c r="H78" s="24" t="n">
        <v>0.00668873982539283</v>
      </c>
      <c r="I78" s="24" t="n">
        <v>0.0494714353082701</v>
      </c>
      <c r="J78" s="24" t="n">
        <v>0.0540020881844558</v>
      </c>
      <c r="K78" s="24" t="n">
        <v>0.0569699882937784</v>
      </c>
    </row>
    <row r="79" customFormat="false" ht="15" hidden="false" customHeight="false" outlineLevel="0" collapsed="false">
      <c r="A79" s="5" t="s">
        <v>81</v>
      </c>
      <c r="B79" s="2" t="s">
        <v>563</v>
      </c>
      <c r="C79" s="24" t="n">
        <v>0</v>
      </c>
      <c r="D79" s="24" t="n">
        <v>0</v>
      </c>
      <c r="E79" s="24" t="n">
        <v>0</v>
      </c>
      <c r="F79" s="24" t="n">
        <v>0.00404229311925051</v>
      </c>
      <c r="G79" s="24" t="n">
        <v>0.0188368487719122</v>
      </c>
      <c r="H79" s="24" t="n">
        <v>0.0355966372582625</v>
      </c>
      <c r="I79" s="24" t="n">
        <v>0.2632807947812</v>
      </c>
      <c r="J79" s="24" t="n">
        <v>0.287392363056651</v>
      </c>
      <c r="K79" s="24" t="n">
        <v>0.303187156450952</v>
      </c>
    </row>
    <row r="80" customFormat="false" ht="15" hidden="false" customHeight="false" outlineLevel="0" collapsed="false">
      <c r="A80" s="5" t="s">
        <v>81</v>
      </c>
      <c r="B80" s="2" t="s">
        <v>549</v>
      </c>
      <c r="C80" s="24" t="n">
        <v>0</v>
      </c>
      <c r="D80" s="24" t="n">
        <v>0</v>
      </c>
      <c r="E80" s="24" t="n">
        <v>0</v>
      </c>
      <c r="F80" s="24" t="n">
        <v>0.000347499537673679</v>
      </c>
      <c r="G80" s="24" t="n">
        <v>0.00161932745755018</v>
      </c>
      <c r="H80" s="24" t="n">
        <v>0.00306009847011722</v>
      </c>
      <c r="I80" s="24" t="n">
        <v>0.0226331816535336</v>
      </c>
      <c r="J80" s="24" t="n">
        <v>0.0247059553443885</v>
      </c>
      <c r="K80" s="24" t="n">
        <v>0.0260637696444036</v>
      </c>
    </row>
    <row r="81" customFormat="false" ht="15" hidden="false" customHeight="false" outlineLevel="0" collapsed="false">
      <c r="A81" s="5" t="s">
        <v>81</v>
      </c>
      <c r="B81" s="2" t="s">
        <v>551</v>
      </c>
      <c r="C81" s="24" t="n">
        <v>0</v>
      </c>
      <c r="D81" s="24" t="n">
        <v>0</v>
      </c>
      <c r="E81" s="24" t="n">
        <v>0</v>
      </c>
      <c r="F81" s="24" t="n">
        <v>0.00121784647528516</v>
      </c>
      <c r="G81" s="24" t="n">
        <v>0.00573666227741052</v>
      </c>
      <c r="H81" s="24" t="n">
        <v>0.0130310921929743</v>
      </c>
      <c r="I81" s="24" t="n">
        <v>0.0516517111095008</v>
      </c>
      <c r="J81" s="24" t="n">
        <v>0.0924643928884791</v>
      </c>
      <c r="K81" s="24" t="n">
        <v>0.160560259678052</v>
      </c>
    </row>
    <row r="82" customFormat="false" ht="15" hidden="false" customHeight="false" outlineLevel="0" collapsed="false">
      <c r="A82" s="5" t="s">
        <v>81</v>
      </c>
      <c r="B82" s="2" t="s">
        <v>553</v>
      </c>
      <c r="C82" s="24" t="n">
        <v>0</v>
      </c>
      <c r="D82" s="24" t="n">
        <v>0</v>
      </c>
      <c r="E82" s="24" t="n">
        <v>0</v>
      </c>
      <c r="F82" s="24" t="n">
        <v>0.000218761777884945</v>
      </c>
      <c r="G82" s="24" t="n">
        <v>0.00107870195978277</v>
      </c>
      <c r="H82" s="24" t="n">
        <v>0.00258109247079903</v>
      </c>
      <c r="I82" s="24" t="n">
        <v>0.00903065488755563</v>
      </c>
      <c r="J82" s="24" t="n">
        <v>0.0174691820754887</v>
      </c>
      <c r="K82" s="24" t="n">
        <v>0.0323022429906156</v>
      </c>
    </row>
    <row r="83" customFormat="false" ht="15" hidden="false" customHeight="false" outlineLevel="0" collapsed="false">
      <c r="A83" s="5" t="s">
        <v>81</v>
      </c>
      <c r="B83" s="2" t="s">
        <v>556</v>
      </c>
      <c r="C83" s="24" t="n">
        <v>0</v>
      </c>
      <c r="D83" s="24" t="n">
        <v>0</v>
      </c>
      <c r="E83" s="24" t="n">
        <v>0</v>
      </c>
      <c r="F83" s="24" t="n">
        <v>0.000126649609407697</v>
      </c>
      <c r="G83" s="24" t="n">
        <v>0.000624502064275857</v>
      </c>
      <c r="H83" s="24" t="n">
        <v>0.00149429373098152</v>
      </c>
      <c r="I83" s="24" t="n">
        <v>0.00522819354122347</v>
      </c>
      <c r="J83" s="24" t="n">
        <v>0.0101135815768338</v>
      </c>
      <c r="K83" s="24" t="n">
        <v>0.0187010111972377</v>
      </c>
    </row>
    <row r="84" customFormat="false" ht="15" hidden="false" customHeight="false" outlineLevel="0" collapsed="false">
      <c r="A84" s="5" t="s">
        <v>81</v>
      </c>
      <c r="B84" s="2" t="s">
        <v>624</v>
      </c>
      <c r="C84" s="24" t="n">
        <v>0</v>
      </c>
      <c r="D84" s="24" t="n">
        <v>0</v>
      </c>
      <c r="E84" s="24" t="n">
        <v>0</v>
      </c>
      <c r="F84" s="24" t="n">
        <v>0.0146277639086905</v>
      </c>
      <c r="G84" s="24" t="n">
        <v>0.0658579095488509</v>
      </c>
      <c r="H84" s="24" t="n">
        <v>0.121779101945748</v>
      </c>
    </row>
    <row r="86" customFormat="false" ht="15" hidden="false" customHeight="false" outlineLevel="0" collapsed="false">
      <c r="A86" s="5" t="s">
        <v>87</v>
      </c>
      <c r="B86" s="2" t="s">
        <v>585</v>
      </c>
      <c r="C86" s="24" t="n">
        <v>0.0435766917319551</v>
      </c>
      <c r="D86" s="24" t="n">
        <v>0.0855908763296237</v>
      </c>
      <c r="E86" s="24" t="n">
        <v>0.165450283035564</v>
      </c>
      <c r="F86" s="24" t="n">
        <v>0.200484192213348</v>
      </c>
      <c r="G86" s="24" t="n">
        <v>0.430768699127324</v>
      </c>
      <c r="H86" s="24" t="n">
        <v>0.698262087539995</v>
      </c>
      <c r="I86" s="24" t="n">
        <v>0.980379368232785</v>
      </c>
      <c r="J86" s="24" t="n">
        <v>0.989649276523085</v>
      </c>
      <c r="K86" s="24" t="n">
        <v>0.994485186253705</v>
      </c>
    </row>
    <row r="87" customFormat="false" ht="15" hidden="false" customHeight="false" outlineLevel="0" collapsed="false">
      <c r="A87" s="5" t="s">
        <v>87</v>
      </c>
      <c r="B87" s="2" t="s">
        <v>588</v>
      </c>
      <c r="C87" s="24" t="n">
        <v>0.000394411780223502</v>
      </c>
      <c r="D87" s="24" t="n">
        <v>0.000890881071583501</v>
      </c>
      <c r="E87" s="24" t="n">
        <v>0.00198298272485817</v>
      </c>
      <c r="F87" s="24" t="n">
        <v>0.0017250692365223</v>
      </c>
      <c r="G87" s="24" t="n">
        <v>0.00428420495096163</v>
      </c>
      <c r="H87" s="24" t="n">
        <v>0.00902430855418163</v>
      </c>
      <c r="I87" s="24" t="n">
        <v>0.00551481374629508</v>
      </c>
      <c r="J87" s="24" t="n">
        <v>0.0103507234769152</v>
      </c>
      <c r="K87" s="24" t="n">
        <v>0.0196206317672153</v>
      </c>
    </row>
    <row r="88" customFormat="false" ht="15" hidden="false" customHeight="false" outlineLevel="0" collapsed="false">
      <c r="A88" s="5" t="s">
        <v>87</v>
      </c>
      <c r="B88" s="2" t="s">
        <v>624</v>
      </c>
      <c r="C88" s="24" t="n">
        <v>0.0439889947403346</v>
      </c>
      <c r="D88" s="24" t="n">
        <v>0.0863357592236845</v>
      </c>
      <c r="E88" s="24" t="n">
        <v>0.166678180728808</v>
      </c>
      <c r="F88" s="24" t="n">
        <v>0.202874432688152</v>
      </c>
      <c r="G88" s="24" t="n">
        <v>0.435793528673313</v>
      </c>
      <c r="H88" s="24" t="n">
        <v>0.705555368141426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11" min="9" style="0" width="16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4" t="s">
        <v>628</v>
      </c>
    </row>
    <row r="2" customFormat="false" ht="15" hidden="false" customHeight="false" outlineLevel="0" collapsed="false">
      <c r="A2" s="5" t="s">
        <v>629</v>
      </c>
    </row>
    <row r="4" customFormat="false" ht="60" hidden="false" customHeight="true" outlineLevel="0" collapsed="false">
      <c r="A4" s="6" t="s">
        <v>25</v>
      </c>
      <c r="B4" s="6" t="s">
        <v>630</v>
      </c>
      <c r="C4" s="6" t="s">
        <v>631</v>
      </c>
      <c r="D4" s="6" t="s">
        <v>632</v>
      </c>
      <c r="E4" s="6" t="s">
        <v>633</v>
      </c>
      <c r="F4" s="6" t="s">
        <v>634</v>
      </c>
      <c r="G4" s="6" t="s">
        <v>635</v>
      </c>
      <c r="H4" s="6" t="s">
        <v>636</v>
      </c>
      <c r="I4" s="6" t="s">
        <v>637</v>
      </c>
      <c r="J4" s="6" t="s">
        <v>638</v>
      </c>
      <c r="K4" s="6" t="s">
        <v>639</v>
      </c>
      <c r="L4" s="6" t="s">
        <v>640</v>
      </c>
    </row>
    <row r="5" customFormat="false" ht="68.65" hidden="false" customHeight="false" outlineLevel="0" collapsed="false">
      <c r="A5" s="5" t="s">
        <v>641</v>
      </c>
      <c r="B5" s="2" t="s">
        <v>217</v>
      </c>
      <c r="C5" s="5" t="s">
        <v>642</v>
      </c>
      <c r="D5" s="11" t="n">
        <v>0.9</v>
      </c>
      <c r="E5" s="11" t="n">
        <v>-0.0750828548579758</v>
      </c>
      <c r="F5" s="11" t="n">
        <v>-0.100581793421576</v>
      </c>
      <c r="G5" s="11" t="n">
        <v>0.137699419726019</v>
      </c>
      <c r="H5" s="11" t="n">
        <v>0</v>
      </c>
      <c r="I5" s="11" t="n">
        <v>-0.0830693758103775</v>
      </c>
      <c r="J5" s="15" t="n">
        <v>1.15004493305445</v>
      </c>
      <c r="K5" s="2" t="s">
        <v>643</v>
      </c>
    </row>
    <row r="6" customFormat="false" ht="68.65" hidden="false" customHeight="false" outlineLevel="0" collapsed="false">
      <c r="A6" s="5" t="s">
        <v>641</v>
      </c>
      <c r="B6" s="2" t="s">
        <v>217</v>
      </c>
      <c r="C6" s="5" t="s">
        <v>642</v>
      </c>
      <c r="D6" s="11" t="n">
        <v>0.75</v>
      </c>
      <c r="E6" s="11" t="n">
        <v>-0.100471759519657</v>
      </c>
      <c r="F6" s="11" t="n">
        <v>-0.999999994736842</v>
      </c>
      <c r="G6" s="11" t="n">
        <v>0.999999995308941</v>
      </c>
      <c r="H6" s="11" t="n">
        <v>0</v>
      </c>
      <c r="I6" s="11" t="n">
        <v>-0.110992681731161</v>
      </c>
      <c r="J6" s="15" t="n">
        <v>1.19300426391158</v>
      </c>
      <c r="K6" s="2" t="s">
        <v>644</v>
      </c>
    </row>
    <row r="7" customFormat="false" ht="68.65" hidden="false" customHeight="false" outlineLevel="0" collapsed="false">
      <c r="A7" s="5" t="s">
        <v>641</v>
      </c>
      <c r="B7" s="2" t="s">
        <v>217</v>
      </c>
      <c r="C7" s="5" t="s">
        <v>642</v>
      </c>
      <c r="D7" s="11" t="n">
        <v>0.5</v>
      </c>
      <c r="E7" s="11" t="n">
        <v>-0.100471759519657</v>
      </c>
      <c r="F7" s="11" t="n">
        <v>-0.999999994736842</v>
      </c>
      <c r="G7" s="11" t="n">
        <v>0.999999996011272</v>
      </c>
      <c r="H7" s="11" t="n">
        <v>0</v>
      </c>
      <c r="I7" s="11" t="n">
        <v>-0.110992681731161</v>
      </c>
      <c r="J7" s="15" t="n">
        <v>1.19300426391158</v>
      </c>
      <c r="K7" s="2" t="s">
        <v>644</v>
      </c>
    </row>
    <row r="8" customFormat="false" ht="68.65" hidden="false" customHeight="false" outlineLevel="0" collapsed="false">
      <c r="A8" s="5" t="s">
        <v>641</v>
      </c>
      <c r="B8" s="2" t="s">
        <v>217</v>
      </c>
      <c r="C8" s="5" t="s">
        <v>642</v>
      </c>
      <c r="D8" s="11" t="n">
        <v>0.25</v>
      </c>
      <c r="E8" s="11" t="n">
        <v>-0.100471759519657</v>
      </c>
      <c r="F8" s="11" t="n">
        <v>-0.999999994736842</v>
      </c>
      <c r="G8" s="11" t="n">
        <v>0.99999999697711</v>
      </c>
      <c r="H8" s="11" t="n">
        <v>0</v>
      </c>
      <c r="I8" s="11" t="n">
        <v>-0.110992681731161</v>
      </c>
      <c r="J8" s="15" t="n">
        <v>1.19300426391158</v>
      </c>
      <c r="K8" s="2" t="s">
        <v>644</v>
      </c>
    </row>
    <row r="9" customFormat="false" ht="68.65" hidden="false" customHeight="false" outlineLevel="0" collapsed="false">
      <c r="A9" s="5" t="s">
        <v>641</v>
      </c>
      <c r="B9" s="2" t="s">
        <v>217</v>
      </c>
      <c r="C9" s="5" t="s">
        <v>642</v>
      </c>
      <c r="D9" s="11" t="n">
        <v>0.1</v>
      </c>
      <c r="E9" s="11" t="n">
        <v>-0.100471759519657</v>
      </c>
      <c r="F9" s="11" t="n">
        <v>-0.999999994736842</v>
      </c>
      <c r="G9" s="11" t="n">
        <v>0.999999997904699</v>
      </c>
      <c r="H9" s="11" t="n">
        <v>0</v>
      </c>
      <c r="I9" s="11" t="n">
        <v>-0.110992681731161</v>
      </c>
      <c r="J9" s="15" t="n">
        <v>1.19300426391158</v>
      </c>
      <c r="K9" s="2" t="s">
        <v>644</v>
      </c>
    </row>
    <row r="10" customFormat="false" ht="68.65" hidden="false" customHeight="false" outlineLevel="0" collapsed="false">
      <c r="A10" s="5" t="s">
        <v>641</v>
      </c>
      <c r="B10" s="2" t="s">
        <v>217</v>
      </c>
      <c r="C10" s="5" t="s">
        <v>645</v>
      </c>
      <c r="D10" s="11" t="n">
        <v>0.9</v>
      </c>
      <c r="E10" s="11" t="n">
        <v>-0.174155328368233</v>
      </c>
      <c r="F10" s="11" t="n">
        <v>-0.999999994736842</v>
      </c>
      <c r="G10" s="11" t="n">
        <v>0.999999994954045</v>
      </c>
      <c r="H10" s="11" t="n">
        <v>0</v>
      </c>
      <c r="I10" s="11" t="n">
        <v>0</v>
      </c>
      <c r="J10" s="15" t="n">
        <v>1.37563340976554</v>
      </c>
      <c r="K10" s="2" t="s">
        <v>646</v>
      </c>
    </row>
    <row r="11" customFormat="false" ht="68.65" hidden="false" customHeight="false" outlineLevel="0" collapsed="false">
      <c r="A11" s="5" t="s">
        <v>641</v>
      </c>
      <c r="B11" s="2" t="s">
        <v>217</v>
      </c>
      <c r="C11" s="5" t="s">
        <v>645</v>
      </c>
      <c r="D11" s="11" t="n">
        <v>0.75</v>
      </c>
      <c r="E11" s="11" t="n">
        <v>-0.174155328368233</v>
      </c>
      <c r="F11" s="11" t="n">
        <v>-0.999999994736842</v>
      </c>
      <c r="G11" s="11" t="n">
        <v>0.999999995308941</v>
      </c>
      <c r="H11" s="11" t="n">
        <v>0</v>
      </c>
      <c r="I11" s="11" t="n">
        <v>0</v>
      </c>
      <c r="J11" s="15" t="n">
        <v>1.37563340976554</v>
      </c>
      <c r="K11" s="2" t="s">
        <v>646</v>
      </c>
    </row>
    <row r="12" customFormat="false" ht="68.65" hidden="false" customHeight="false" outlineLevel="0" collapsed="false">
      <c r="A12" s="5" t="s">
        <v>641</v>
      </c>
      <c r="B12" s="2" t="s">
        <v>217</v>
      </c>
      <c r="C12" s="5" t="s">
        <v>645</v>
      </c>
      <c r="D12" s="11" t="n">
        <v>0.5</v>
      </c>
      <c r="E12" s="11" t="n">
        <v>-0.174155328368233</v>
      </c>
      <c r="F12" s="11" t="n">
        <v>-0.999999994736842</v>
      </c>
      <c r="G12" s="11" t="n">
        <v>0.999999996011272</v>
      </c>
      <c r="H12" s="11" t="n">
        <v>0</v>
      </c>
      <c r="I12" s="11" t="n">
        <v>0</v>
      </c>
      <c r="J12" s="15" t="n">
        <v>1.37563340976554</v>
      </c>
      <c r="K12" s="2" t="s">
        <v>646</v>
      </c>
    </row>
    <row r="13" customFormat="false" ht="68.65" hidden="false" customHeight="false" outlineLevel="0" collapsed="false">
      <c r="A13" s="5" t="s">
        <v>641</v>
      </c>
      <c r="B13" s="2" t="s">
        <v>217</v>
      </c>
      <c r="C13" s="5" t="s">
        <v>645</v>
      </c>
      <c r="D13" s="11" t="n">
        <v>0.25</v>
      </c>
      <c r="E13" s="11" t="n">
        <v>-0.174155328368233</v>
      </c>
      <c r="F13" s="11" t="n">
        <v>-0.999999994736842</v>
      </c>
      <c r="G13" s="11" t="n">
        <v>0.99999999697711</v>
      </c>
      <c r="H13" s="11" t="n">
        <v>0</v>
      </c>
      <c r="I13" s="11" t="n">
        <v>0</v>
      </c>
      <c r="J13" s="15" t="n">
        <v>1.37563340976554</v>
      </c>
      <c r="K13" s="2" t="s">
        <v>646</v>
      </c>
    </row>
    <row r="14" customFormat="false" ht="68.65" hidden="false" customHeight="false" outlineLevel="0" collapsed="false">
      <c r="A14" s="5" t="s">
        <v>641</v>
      </c>
      <c r="B14" s="2" t="s">
        <v>217</v>
      </c>
      <c r="C14" s="5" t="s">
        <v>645</v>
      </c>
      <c r="D14" s="11" t="n">
        <v>0.1</v>
      </c>
      <c r="E14" s="11" t="n">
        <v>-0.174155328368233</v>
      </c>
      <c r="F14" s="11" t="n">
        <v>-0.999999994736842</v>
      </c>
      <c r="G14" s="11" t="n">
        <v>0.999999997904699</v>
      </c>
      <c r="H14" s="11" t="n">
        <v>0</v>
      </c>
      <c r="I14" s="11" t="n">
        <v>0</v>
      </c>
      <c r="J14" s="15" t="n">
        <v>1.37563340976554</v>
      </c>
      <c r="K14" s="2" t="s">
        <v>646</v>
      </c>
    </row>
    <row r="15" customFormat="false" ht="68.65" hidden="false" customHeight="false" outlineLevel="0" collapsed="false">
      <c r="A15" s="5" t="s">
        <v>641</v>
      </c>
      <c r="B15" s="2" t="s">
        <v>221</v>
      </c>
      <c r="C15" s="5" t="s">
        <v>642</v>
      </c>
      <c r="D15" s="11" t="n">
        <v>0.9</v>
      </c>
      <c r="E15" s="11" t="n">
        <v>-0.0438277164075245</v>
      </c>
      <c r="F15" s="11" t="n">
        <v>-0.9999999875</v>
      </c>
      <c r="G15" s="11" t="n">
        <v>0.999999988630843</v>
      </c>
      <c r="H15" s="11" t="n">
        <v>0</v>
      </c>
      <c r="I15" s="11" t="n">
        <v>-0.0485773180563058</v>
      </c>
      <c r="J15" s="15" t="n">
        <v>1.077555750227</v>
      </c>
      <c r="K15" s="2" t="s">
        <v>647</v>
      </c>
    </row>
    <row r="16" customFormat="false" ht="68.65" hidden="false" customHeight="false" outlineLevel="0" collapsed="false">
      <c r="A16" s="5" t="s">
        <v>641</v>
      </c>
      <c r="B16" s="2" t="s">
        <v>221</v>
      </c>
      <c r="C16" s="5" t="s">
        <v>642</v>
      </c>
      <c r="D16" s="11" t="n">
        <v>0.75</v>
      </c>
      <c r="E16" s="11" t="n">
        <v>-0.0438277164075245</v>
      </c>
      <c r="F16" s="11" t="n">
        <v>-0.9999999875</v>
      </c>
      <c r="G16" s="11" t="n">
        <v>0.999999990351381</v>
      </c>
      <c r="H16" s="11" t="n">
        <v>0</v>
      </c>
      <c r="I16" s="11" t="n">
        <v>-0.0485773180563058</v>
      </c>
      <c r="J16" s="15" t="n">
        <v>1.077555750227</v>
      </c>
      <c r="K16" s="2" t="s">
        <v>647</v>
      </c>
    </row>
    <row r="17" customFormat="false" ht="68.65" hidden="false" customHeight="false" outlineLevel="0" collapsed="false">
      <c r="A17" s="5" t="s">
        <v>641</v>
      </c>
      <c r="B17" s="2" t="s">
        <v>221</v>
      </c>
      <c r="C17" s="5" t="s">
        <v>642</v>
      </c>
      <c r="D17" s="11" t="n">
        <v>0.5</v>
      </c>
      <c r="E17" s="11" t="n">
        <v>-0.0438277164075245</v>
      </c>
      <c r="F17" s="11" t="n">
        <v>-0.9999999875</v>
      </c>
      <c r="G17" s="11" t="n">
        <v>0.999999993301416</v>
      </c>
      <c r="H17" s="11" t="n">
        <v>0</v>
      </c>
      <c r="I17" s="11" t="n">
        <v>-0.0485773180563058</v>
      </c>
      <c r="J17" s="15" t="n">
        <v>1.077555750227</v>
      </c>
      <c r="K17" s="2" t="s">
        <v>647</v>
      </c>
    </row>
    <row r="18" customFormat="false" ht="68.65" hidden="false" customHeight="false" outlineLevel="0" collapsed="false">
      <c r="A18" s="5" t="s">
        <v>641</v>
      </c>
      <c r="B18" s="2" t="s">
        <v>221</v>
      </c>
      <c r="C18" s="5" t="s">
        <v>642</v>
      </c>
      <c r="D18" s="11" t="n">
        <v>0.25</v>
      </c>
      <c r="E18" s="11" t="n">
        <v>-0.0438277164075245</v>
      </c>
      <c r="F18" s="11" t="n">
        <v>-0.9999999875</v>
      </c>
      <c r="G18" s="11" t="n">
        <v>0.999999996410318</v>
      </c>
      <c r="H18" s="11" t="n">
        <v>0</v>
      </c>
      <c r="I18" s="11" t="n">
        <v>-0.0485773180563058</v>
      </c>
      <c r="J18" s="15" t="n">
        <v>1.077555750227</v>
      </c>
      <c r="K18" s="2" t="s">
        <v>647</v>
      </c>
    </row>
    <row r="19" customFormat="false" ht="68.65" hidden="false" customHeight="false" outlineLevel="0" collapsed="false">
      <c r="A19" s="5" t="s">
        <v>641</v>
      </c>
      <c r="B19" s="2" t="s">
        <v>221</v>
      </c>
      <c r="C19" s="5" t="s">
        <v>642</v>
      </c>
      <c r="D19" s="11" t="n">
        <v>0.1</v>
      </c>
      <c r="E19" s="11" t="n">
        <v>-0.0438277164075245</v>
      </c>
      <c r="F19" s="11" t="n">
        <v>-0.9999999875</v>
      </c>
      <c r="G19" s="11" t="n">
        <v>0.999999998426343</v>
      </c>
      <c r="H19" s="11" t="n">
        <v>0</v>
      </c>
      <c r="I19" s="11" t="n">
        <v>-0.0485773180563058</v>
      </c>
      <c r="J19" s="15" t="n">
        <v>1.077555750227</v>
      </c>
      <c r="K19" s="2" t="s">
        <v>647</v>
      </c>
    </row>
    <row r="20" customFormat="false" ht="68.65" hidden="false" customHeight="false" outlineLevel="0" collapsed="false">
      <c r="A20" s="5" t="s">
        <v>641</v>
      </c>
      <c r="B20" s="2" t="s">
        <v>221</v>
      </c>
      <c r="C20" s="5" t="s">
        <v>645</v>
      </c>
      <c r="D20" s="11" t="n">
        <v>0.9</v>
      </c>
      <c r="E20" s="11" t="n">
        <v>-0.0741926102609474</v>
      </c>
      <c r="F20" s="11" t="n">
        <v>-0.9999999875</v>
      </c>
      <c r="G20" s="11" t="n">
        <v>0.999999988630843</v>
      </c>
      <c r="H20" s="11" t="n">
        <v>0</v>
      </c>
      <c r="I20" s="11" t="n">
        <v>-1.11022302462516E-016</v>
      </c>
      <c r="J20" s="15" t="n">
        <v>1.13710070391054</v>
      </c>
      <c r="K20" s="2" t="s">
        <v>648</v>
      </c>
    </row>
    <row r="21" customFormat="false" ht="68.65" hidden="false" customHeight="false" outlineLevel="0" collapsed="false">
      <c r="A21" s="5" t="s">
        <v>641</v>
      </c>
      <c r="B21" s="2" t="s">
        <v>221</v>
      </c>
      <c r="C21" s="5" t="s">
        <v>645</v>
      </c>
      <c r="D21" s="11" t="n">
        <v>0.75</v>
      </c>
      <c r="E21" s="11" t="n">
        <v>-0.0741926102609474</v>
      </c>
      <c r="F21" s="11" t="n">
        <v>-0.9999999875</v>
      </c>
      <c r="G21" s="11" t="n">
        <v>0.999999990351381</v>
      </c>
      <c r="H21" s="11" t="n">
        <v>0</v>
      </c>
      <c r="I21" s="11" t="n">
        <v>-1.11022302462516E-016</v>
      </c>
      <c r="J21" s="15" t="n">
        <v>1.13710070391054</v>
      </c>
      <c r="K21" s="2" t="s">
        <v>648</v>
      </c>
    </row>
    <row r="22" customFormat="false" ht="68.65" hidden="false" customHeight="false" outlineLevel="0" collapsed="false">
      <c r="A22" s="5" t="s">
        <v>641</v>
      </c>
      <c r="B22" s="2" t="s">
        <v>221</v>
      </c>
      <c r="C22" s="5" t="s">
        <v>645</v>
      </c>
      <c r="D22" s="11" t="n">
        <v>0.5</v>
      </c>
      <c r="E22" s="11" t="n">
        <v>-0.0741926102609474</v>
      </c>
      <c r="F22" s="11" t="n">
        <v>-0.9999999875</v>
      </c>
      <c r="G22" s="11" t="n">
        <v>0.999999993301416</v>
      </c>
      <c r="H22" s="11" t="n">
        <v>0</v>
      </c>
      <c r="I22" s="11" t="n">
        <v>-1.11022302462516E-016</v>
      </c>
      <c r="J22" s="15" t="n">
        <v>1.13710070391054</v>
      </c>
      <c r="K22" s="2" t="s">
        <v>648</v>
      </c>
    </row>
    <row r="23" customFormat="false" ht="68.65" hidden="false" customHeight="false" outlineLevel="0" collapsed="false">
      <c r="A23" s="5" t="s">
        <v>641</v>
      </c>
      <c r="B23" s="2" t="s">
        <v>221</v>
      </c>
      <c r="C23" s="5" t="s">
        <v>645</v>
      </c>
      <c r="D23" s="11" t="n">
        <v>0.25</v>
      </c>
      <c r="E23" s="11" t="n">
        <v>-0.0741926102609474</v>
      </c>
      <c r="F23" s="11" t="n">
        <v>-0.9999999875</v>
      </c>
      <c r="G23" s="11" t="n">
        <v>0.999999996410318</v>
      </c>
      <c r="H23" s="11" t="n">
        <v>0</v>
      </c>
      <c r="I23" s="11" t="n">
        <v>-1.11022302462516E-016</v>
      </c>
      <c r="J23" s="15" t="n">
        <v>1.13710070391054</v>
      </c>
      <c r="K23" s="2" t="s">
        <v>648</v>
      </c>
    </row>
    <row r="24" customFormat="false" ht="68.65" hidden="false" customHeight="false" outlineLevel="0" collapsed="false">
      <c r="A24" s="5" t="s">
        <v>641</v>
      </c>
      <c r="B24" s="2" t="s">
        <v>221</v>
      </c>
      <c r="C24" s="5" t="s">
        <v>645</v>
      </c>
      <c r="D24" s="11" t="n">
        <v>0.1</v>
      </c>
      <c r="E24" s="11" t="n">
        <v>-0.0741926102609474</v>
      </c>
      <c r="F24" s="11" t="n">
        <v>-0.9999999875</v>
      </c>
      <c r="G24" s="11" t="n">
        <v>0.999999998426343</v>
      </c>
      <c r="H24" s="11" t="n">
        <v>0</v>
      </c>
      <c r="I24" s="11" t="n">
        <v>-1.11022302462516E-016</v>
      </c>
      <c r="J24" s="15" t="n">
        <v>1.13710070391054</v>
      </c>
      <c r="K24" s="2" t="s">
        <v>648</v>
      </c>
    </row>
    <row r="25" customFormat="false" ht="68.65" hidden="false" customHeight="false" outlineLevel="0" collapsed="false">
      <c r="A25" s="5" t="s">
        <v>641</v>
      </c>
      <c r="B25" s="2" t="s">
        <v>225</v>
      </c>
      <c r="C25" s="5" t="s">
        <v>642</v>
      </c>
      <c r="D25" s="11" t="n">
        <v>0.9</v>
      </c>
      <c r="E25" s="11" t="n">
        <v>-0.00240699770764574</v>
      </c>
      <c r="F25" s="11" t="n">
        <v>-0.0320733269902976</v>
      </c>
      <c r="G25" s="11" t="n">
        <v>0.0913681342356526</v>
      </c>
      <c r="H25" s="11" t="n">
        <v>0</v>
      </c>
      <c r="I25" s="11" t="n">
        <v>-0.00267408401006319</v>
      </c>
      <c r="J25" s="15" t="n">
        <v>1.03313611235712</v>
      </c>
      <c r="K25" s="2" t="s">
        <v>649</v>
      </c>
    </row>
    <row r="26" customFormat="false" ht="68.65" hidden="false" customHeight="false" outlineLevel="0" collapsed="false">
      <c r="A26" s="5" t="s">
        <v>641</v>
      </c>
      <c r="B26" s="2" t="s">
        <v>225</v>
      </c>
      <c r="C26" s="5" t="s">
        <v>642</v>
      </c>
      <c r="D26" s="11" t="n">
        <v>0.75</v>
      </c>
      <c r="E26" s="11" t="n">
        <v>-0.00576096734082521</v>
      </c>
      <c r="F26" s="11" t="n">
        <v>-0.0768994661337191</v>
      </c>
      <c r="G26" s="11" t="n">
        <v>0.223241954698444</v>
      </c>
      <c r="H26" s="11" t="n">
        <v>0</v>
      </c>
      <c r="I26" s="11" t="n">
        <v>-0.00639902262863468</v>
      </c>
      <c r="J26" s="15" t="n">
        <v>1.08330562415736</v>
      </c>
      <c r="K26" s="2" t="s">
        <v>650</v>
      </c>
    </row>
    <row r="27" customFormat="false" ht="68.65" hidden="false" customHeight="false" outlineLevel="0" collapsed="false">
      <c r="A27" s="5" t="s">
        <v>641</v>
      </c>
      <c r="B27" s="2" t="s">
        <v>225</v>
      </c>
      <c r="C27" s="5" t="s">
        <v>642</v>
      </c>
      <c r="D27" s="11" t="n">
        <v>0.5</v>
      </c>
      <c r="E27" s="11" t="n">
        <v>-0.0107481270566598</v>
      </c>
      <c r="F27" s="11" t="n">
        <v>-0.143847092444521</v>
      </c>
      <c r="G27" s="11" t="n">
        <v>0.435149732824666</v>
      </c>
      <c r="H27" s="11" t="n">
        <v>0</v>
      </c>
      <c r="I27" s="11" t="n">
        <v>-0.0119352095685255</v>
      </c>
      <c r="J27" s="15" t="n">
        <v>1.16801565605289</v>
      </c>
      <c r="K27" s="2" t="s">
        <v>651</v>
      </c>
    </row>
    <row r="28" customFormat="false" ht="68.65" hidden="false" customHeight="false" outlineLevel="0" collapsed="false">
      <c r="A28" s="5" t="s">
        <v>641</v>
      </c>
      <c r="B28" s="2" t="s">
        <v>225</v>
      </c>
      <c r="C28" s="5" t="s">
        <v>642</v>
      </c>
      <c r="D28" s="11" t="n">
        <v>0.25</v>
      </c>
      <c r="E28" s="11" t="n">
        <v>-0.01509431318377</v>
      </c>
      <c r="F28" s="11" t="n">
        <v>-0.202481934076786</v>
      </c>
      <c r="G28" s="11" t="n">
        <v>0.652860099235855</v>
      </c>
      <c r="H28" s="11" t="n">
        <v>0</v>
      </c>
      <c r="I28" s="11" t="n">
        <v>-0.016757331648688</v>
      </c>
      <c r="J28" s="15" t="n">
        <v>1.25389009068076</v>
      </c>
      <c r="K28" s="2" t="s">
        <v>652</v>
      </c>
    </row>
    <row r="29" customFormat="false" ht="68.65" hidden="false" customHeight="false" outlineLevel="0" collapsed="false">
      <c r="A29" s="5" t="s">
        <v>641</v>
      </c>
      <c r="B29" s="2" t="s">
        <v>225</v>
      </c>
      <c r="C29" s="5" t="s">
        <v>642</v>
      </c>
      <c r="D29" s="11" t="n">
        <v>0.1</v>
      </c>
      <c r="E29" s="11" t="n">
        <v>-0.0174397793936993</v>
      </c>
      <c r="F29" s="11" t="n">
        <v>-0.234239597892132</v>
      </c>
      <c r="G29" s="11" t="n">
        <v>0.807649683615793</v>
      </c>
      <c r="H29" s="11" t="n">
        <v>0</v>
      </c>
      <c r="I29" s="11" t="n">
        <v>-0.0193586604000249</v>
      </c>
      <c r="J29" s="15" t="n">
        <v>1.3058914998051</v>
      </c>
      <c r="K29" s="2" t="s">
        <v>653</v>
      </c>
    </row>
    <row r="30" customFormat="false" ht="68.65" hidden="false" customHeight="false" outlineLevel="0" collapsed="false">
      <c r="A30" s="5" t="s">
        <v>641</v>
      </c>
      <c r="B30" s="2" t="s">
        <v>225</v>
      </c>
      <c r="C30" s="5" t="s">
        <v>645</v>
      </c>
      <c r="D30" s="11" t="n">
        <v>0.9</v>
      </c>
      <c r="E30" s="11" t="n">
        <v>-0.00432743100433752</v>
      </c>
      <c r="F30" s="11" t="n">
        <v>-0.0354989860307904</v>
      </c>
      <c r="G30" s="11" t="n">
        <v>0.0945839387508405</v>
      </c>
      <c r="H30" s="11" t="n">
        <v>0</v>
      </c>
      <c r="I30" s="11" t="n">
        <v>0</v>
      </c>
      <c r="J30" s="15" t="n">
        <v>1.03680554557916</v>
      </c>
      <c r="K30" s="2" t="s">
        <v>654</v>
      </c>
    </row>
    <row r="31" customFormat="false" ht="68.65" hidden="false" customHeight="false" outlineLevel="0" collapsed="false">
      <c r="A31" s="5" t="s">
        <v>641</v>
      </c>
      <c r="B31" s="2" t="s">
        <v>225</v>
      </c>
      <c r="C31" s="5" t="s">
        <v>645</v>
      </c>
      <c r="D31" s="11" t="n">
        <v>0.75</v>
      </c>
      <c r="E31" s="11" t="n">
        <v>-0.0102744447231398</v>
      </c>
      <c r="F31" s="11" t="n">
        <v>-0.0843258086594304</v>
      </c>
      <c r="G31" s="11" t="n">
        <v>0.22949097210487</v>
      </c>
      <c r="H31" s="11" t="n">
        <v>0</v>
      </c>
      <c r="I31" s="11" t="n">
        <v>0</v>
      </c>
      <c r="J31" s="15" t="n">
        <v>1.09209149876331</v>
      </c>
      <c r="K31" s="2" t="s">
        <v>655</v>
      </c>
    </row>
    <row r="32" customFormat="false" ht="68.65" hidden="false" customHeight="false" outlineLevel="0" collapsed="false">
      <c r="A32" s="5" t="s">
        <v>641</v>
      </c>
      <c r="B32" s="2" t="s">
        <v>225</v>
      </c>
      <c r="C32" s="5" t="s">
        <v>645</v>
      </c>
      <c r="D32" s="11" t="n">
        <v>0.5</v>
      </c>
      <c r="E32" s="11" t="n">
        <v>-0.0189568988022844</v>
      </c>
      <c r="F32" s="11" t="n">
        <v>-0.155700908449969</v>
      </c>
      <c r="G32" s="11" t="n">
        <v>0.442970334820683</v>
      </c>
      <c r="H32" s="11" t="n">
        <v>0</v>
      </c>
      <c r="I32" s="11" t="n">
        <v>0</v>
      </c>
      <c r="J32" s="15" t="n">
        <v>1.18441439770369</v>
      </c>
      <c r="K32" s="2" t="s">
        <v>656</v>
      </c>
    </row>
    <row r="33" customFormat="false" ht="68.65" hidden="false" customHeight="false" outlineLevel="0" collapsed="false">
      <c r="A33" s="5" t="s">
        <v>641</v>
      </c>
      <c r="B33" s="2" t="s">
        <v>225</v>
      </c>
      <c r="C33" s="5" t="s">
        <v>645</v>
      </c>
      <c r="D33" s="11" t="n">
        <v>0.25</v>
      </c>
      <c r="E33" s="11" t="n">
        <v>-0.0263871584367583</v>
      </c>
      <c r="F33" s="11" t="n">
        <v>-0.216868958689661</v>
      </c>
      <c r="G33" s="11" t="n">
        <v>0.659122415426302</v>
      </c>
      <c r="H33" s="11" t="n">
        <v>0</v>
      </c>
      <c r="I33" s="11" t="n">
        <v>0</v>
      </c>
      <c r="J33" s="15" t="n">
        <v>1.27692550448108</v>
      </c>
      <c r="K33" s="2" t="s">
        <v>657</v>
      </c>
    </row>
    <row r="34" customFormat="false" ht="68.65" hidden="false" customHeight="false" outlineLevel="0" collapsed="false">
      <c r="A34" s="5" t="s">
        <v>641</v>
      </c>
      <c r="B34" s="2" t="s">
        <v>225</v>
      </c>
      <c r="C34" s="5" t="s">
        <v>645</v>
      </c>
      <c r="D34" s="11" t="n">
        <v>0.1</v>
      </c>
      <c r="E34" s="11" t="n">
        <v>-0.0303511969571491</v>
      </c>
      <c r="F34" s="11" t="n">
        <v>-0.249535666178088</v>
      </c>
      <c r="G34" s="11" t="n">
        <v>0.811491882254086</v>
      </c>
      <c r="H34" s="11" t="n">
        <v>0</v>
      </c>
      <c r="I34" s="11" t="n">
        <v>0</v>
      </c>
      <c r="J34" s="15" t="n">
        <v>1.33250836173289</v>
      </c>
      <c r="K34" s="2" t="s">
        <v>658</v>
      </c>
    </row>
    <row r="35" customFormat="false" ht="68.65" hidden="false" customHeight="false" outlineLevel="0" collapsed="false">
      <c r="A35" s="5" t="s">
        <v>641</v>
      </c>
      <c r="B35" s="2" t="s">
        <v>229</v>
      </c>
      <c r="C35" s="5" t="s">
        <v>642</v>
      </c>
      <c r="D35" s="11" t="n">
        <v>0.9</v>
      </c>
      <c r="E35" s="11" t="n">
        <v>-0.00857138983800798</v>
      </c>
      <c r="F35" s="11" t="n">
        <v>-0.114582999024873</v>
      </c>
      <c r="G35" s="11" t="n">
        <v>0.203124699122386</v>
      </c>
      <c r="H35" s="11" t="n">
        <v>0</v>
      </c>
      <c r="I35" s="11" t="n">
        <v>-0.00951921981574111</v>
      </c>
      <c r="J35" s="15" t="n">
        <v>1.22486127866245</v>
      </c>
      <c r="K35" s="2" t="s">
        <v>659</v>
      </c>
    </row>
    <row r="36" customFormat="false" ht="68.65" hidden="false" customHeight="false" outlineLevel="0" collapsed="false">
      <c r="A36" s="5" t="s">
        <v>641</v>
      </c>
      <c r="B36" s="2" t="s">
        <v>229</v>
      </c>
      <c r="C36" s="5" t="s">
        <v>642</v>
      </c>
      <c r="D36" s="11" t="n">
        <v>0.75</v>
      </c>
      <c r="E36" s="11" t="n">
        <v>-0.0178542624144231</v>
      </c>
      <c r="F36" s="11" t="n">
        <v>-0.239860155684675</v>
      </c>
      <c r="G36" s="11" t="n">
        <v>0.429895116763506</v>
      </c>
      <c r="H36" s="11" t="n">
        <v>0</v>
      </c>
      <c r="I36" s="11" t="n">
        <v>-0.0198182869160688</v>
      </c>
      <c r="J36" s="15" t="n">
        <v>1.57946802122619</v>
      </c>
      <c r="K36" s="2" t="s">
        <v>660</v>
      </c>
    </row>
    <row r="37" customFormat="false" ht="68.65" hidden="false" customHeight="false" outlineLevel="0" collapsed="false">
      <c r="A37" s="5" t="s">
        <v>641</v>
      </c>
      <c r="B37" s="2" t="s">
        <v>229</v>
      </c>
      <c r="C37" s="5" t="s">
        <v>642</v>
      </c>
      <c r="D37" s="11" t="n">
        <v>0.6</v>
      </c>
      <c r="E37" s="11" t="n">
        <v>-0.0244434699009197</v>
      </c>
      <c r="F37" s="11" t="n">
        <v>-0.329557956723931</v>
      </c>
      <c r="G37" s="11" t="n">
        <v>0.597734774034359</v>
      </c>
      <c r="H37" s="11" t="n">
        <v>0</v>
      </c>
      <c r="I37" s="11" t="n">
        <v>-0.0271222590773034</v>
      </c>
      <c r="J37" s="15" t="n">
        <v>1.94714337661313</v>
      </c>
      <c r="K37" s="2" t="s">
        <v>661</v>
      </c>
    </row>
    <row r="38" customFormat="false" ht="68.65" hidden="false" customHeight="false" outlineLevel="0" collapsed="false">
      <c r="A38" s="5" t="s">
        <v>641</v>
      </c>
      <c r="B38" s="2" t="s">
        <v>229</v>
      </c>
      <c r="C38" s="5" t="s">
        <v>645</v>
      </c>
      <c r="D38" s="11" t="n">
        <v>0.9</v>
      </c>
      <c r="E38" s="11" t="n">
        <v>-0.0157416004170743</v>
      </c>
      <c r="F38" s="11" t="n">
        <v>-0.129256619318916</v>
      </c>
      <c r="G38" s="11" t="n">
        <v>0.216330957387024</v>
      </c>
      <c r="H38" s="11" t="n">
        <v>0</v>
      </c>
      <c r="I38" s="11" t="n">
        <v>0</v>
      </c>
      <c r="J38" s="15" t="n">
        <v>1.25945608942694</v>
      </c>
      <c r="K38" s="2" t="s">
        <v>662</v>
      </c>
    </row>
    <row r="39" customFormat="false" ht="68.65" hidden="false" customHeight="false" outlineLevel="0" collapsed="false">
      <c r="A39" s="5" t="s">
        <v>641</v>
      </c>
      <c r="B39" s="2" t="s">
        <v>229</v>
      </c>
      <c r="C39" s="5" t="s">
        <v>645</v>
      </c>
      <c r="D39" s="11" t="n">
        <v>0.75</v>
      </c>
      <c r="E39" s="11" t="n">
        <v>-0.0316222746385022</v>
      </c>
      <c r="F39" s="11" t="n">
        <v>-0.260015349440573</v>
      </c>
      <c r="G39" s="11" t="n">
        <v>0.44501151208043</v>
      </c>
      <c r="H39" s="11" t="n">
        <v>0</v>
      </c>
      <c r="I39" s="11" t="n">
        <v>0</v>
      </c>
      <c r="J39" s="15" t="n">
        <v>1.65181782315477</v>
      </c>
      <c r="K39" s="2" t="s">
        <v>663</v>
      </c>
    </row>
    <row r="40" customFormat="false" ht="68.65" hidden="false" customHeight="false" outlineLevel="0" collapsed="false">
      <c r="A40" s="5" t="s">
        <v>641</v>
      </c>
      <c r="B40" s="2" t="s">
        <v>229</v>
      </c>
      <c r="C40" s="5" t="s">
        <v>645</v>
      </c>
      <c r="D40" s="11" t="n">
        <v>0.6</v>
      </c>
      <c r="E40" s="11" t="n">
        <v>-0.0424340948400395</v>
      </c>
      <c r="F40" s="11" t="n">
        <v>-0.349256704559552</v>
      </c>
      <c r="G40" s="11" t="n">
        <v>0.609554022735731</v>
      </c>
      <c r="H40" s="11" t="n">
        <v>0</v>
      </c>
      <c r="I40" s="11" t="n">
        <v>0</v>
      </c>
      <c r="J40" s="15" t="n">
        <v>2.04636844091565</v>
      </c>
      <c r="K40" s="2" t="s">
        <v>664</v>
      </c>
    </row>
    <row r="41" customFormat="false" ht="68.65" hidden="false" customHeight="false" outlineLevel="0" collapsed="false">
      <c r="A41" s="5" t="s">
        <v>641</v>
      </c>
      <c r="B41" s="2" t="s">
        <v>232</v>
      </c>
      <c r="C41" s="5" t="s">
        <v>642</v>
      </c>
      <c r="D41" s="11" t="n">
        <v>0.9</v>
      </c>
      <c r="E41" s="11" t="n">
        <v>-0.0409420303231509</v>
      </c>
      <c r="F41" s="11" t="n">
        <v>-0.0928011117163499</v>
      </c>
      <c r="G41" s="11" t="n">
        <v>0.143877542339915</v>
      </c>
      <c r="H41" s="11" t="n">
        <v>0</v>
      </c>
      <c r="I41" s="11" t="n">
        <v>-0.045386392514396</v>
      </c>
      <c r="J41" s="15" t="n">
        <v>1.07215745314629</v>
      </c>
      <c r="K41" s="2" t="s">
        <v>665</v>
      </c>
    </row>
    <row r="42" customFormat="false" ht="68.65" hidden="false" customHeight="false" outlineLevel="0" collapsed="false">
      <c r="A42" s="5" t="s">
        <v>641</v>
      </c>
      <c r="B42" s="2" t="s">
        <v>232</v>
      </c>
      <c r="C42" s="5" t="s">
        <v>642</v>
      </c>
      <c r="D42" s="11" t="n">
        <v>0.75</v>
      </c>
      <c r="E42" s="11" t="n">
        <v>-0.0980755179894692</v>
      </c>
      <c r="F42" s="11" t="n">
        <v>-0.227103299116252</v>
      </c>
      <c r="G42" s="11" t="n">
        <v>0.34021088201124</v>
      </c>
      <c r="H42" s="11" t="n">
        <v>0</v>
      </c>
      <c r="I42" s="11" t="n">
        <v>-0.108360942633842</v>
      </c>
      <c r="J42" s="15" t="n">
        <v>1.18772630185248</v>
      </c>
      <c r="K42" s="2" t="s">
        <v>666</v>
      </c>
    </row>
    <row r="43" customFormat="false" ht="68.65" hidden="false" customHeight="false" outlineLevel="0" collapsed="false">
      <c r="A43" s="5" t="s">
        <v>641</v>
      </c>
      <c r="B43" s="2" t="s">
        <v>232</v>
      </c>
      <c r="C43" s="5" t="s">
        <v>642</v>
      </c>
      <c r="D43" s="11" t="n">
        <v>0.5</v>
      </c>
      <c r="E43" s="11" t="n">
        <v>-0.179088722497657</v>
      </c>
      <c r="F43" s="11" t="n">
        <v>-0.430405015901077</v>
      </c>
      <c r="G43" s="11" t="n">
        <v>0.610955160837746</v>
      </c>
      <c r="H43" s="11" t="n">
        <v>0</v>
      </c>
      <c r="I43" s="11" t="n">
        <v>-0.196892688133804</v>
      </c>
      <c r="J43" s="15" t="n">
        <v>1.45531128106706</v>
      </c>
      <c r="K43" s="2" t="s">
        <v>667</v>
      </c>
    </row>
    <row r="44" customFormat="false" ht="68.65" hidden="false" customHeight="false" outlineLevel="0" collapsed="false">
      <c r="A44" s="5" t="s">
        <v>641</v>
      </c>
      <c r="B44" s="2" t="s">
        <v>232</v>
      </c>
      <c r="C44" s="5" t="s">
        <v>642</v>
      </c>
      <c r="D44" s="11" t="n">
        <v>0.25</v>
      </c>
      <c r="E44" s="11" t="n">
        <v>-0.239186887877992</v>
      </c>
      <c r="F44" s="11" t="n">
        <v>-0.595267514948616</v>
      </c>
      <c r="G44" s="11" t="n">
        <v>0.811185619350191</v>
      </c>
      <c r="H44" s="11" t="n">
        <v>0</v>
      </c>
      <c r="I44" s="11" t="n">
        <v>-0.261948522135298</v>
      </c>
      <c r="J44" s="15" t="n">
        <v>1.82762865065566</v>
      </c>
      <c r="K44" s="2" t="s">
        <v>668</v>
      </c>
    </row>
    <row r="45" customFormat="false" ht="68.65" hidden="false" customHeight="false" outlineLevel="0" collapsed="false">
      <c r="A45" s="5" t="s">
        <v>641</v>
      </c>
      <c r="B45" s="2" t="s">
        <v>232</v>
      </c>
      <c r="C45" s="5" t="s">
        <v>642</v>
      </c>
      <c r="D45" s="11" t="n">
        <v>0.1</v>
      </c>
      <c r="E45" s="11" t="n">
        <v>-0.2653036337831</v>
      </c>
      <c r="F45" s="11" t="n">
        <v>-0.672153866399664</v>
      </c>
      <c r="G45" s="11" t="n">
        <v>0.907600405297977</v>
      </c>
      <c r="H45" s="11" t="n">
        <v>0</v>
      </c>
      <c r="I45" s="11" t="n">
        <v>-0.290044724061027</v>
      </c>
      <c r="J45" s="15" t="n">
        <v>2.10322929622203</v>
      </c>
      <c r="K45" s="2" t="s">
        <v>669</v>
      </c>
    </row>
    <row r="46" customFormat="false" ht="68.65" hidden="false" customHeight="false" outlineLevel="0" collapsed="false">
      <c r="A46" s="5" t="s">
        <v>641</v>
      </c>
      <c r="B46" s="2" t="s">
        <v>232</v>
      </c>
      <c r="C46" s="5" t="s">
        <v>645</v>
      </c>
      <c r="D46" s="11" t="n">
        <v>0.9</v>
      </c>
      <c r="E46" s="11" t="n">
        <v>-0.137410904839987</v>
      </c>
      <c r="F46" s="11" t="n">
        <v>-0.237662597868459</v>
      </c>
      <c r="G46" s="11" t="n">
        <v>0.280583145870217</v>
      </c>
      <c r="H46" s="11" t="n">
        <v>0</v>
      </c>
      <c r="I46" s="11" t="n">
        <v>-1.11022302462516E-016</v>
      </c>
      <c r="J46" s="15" t="n">
        <v>1.27936184428708</v>
      </c>
      <c r="K46" s="2" t="s">
        <v>670</v>
      </c>
    </row>
    <row r="47" customFormat="false" ht="68.65" hidden="false" customHeight="false" outlineLevel="0" collapsed="false">
      <c r="A47" s="5" t="s">
        <v>641</v>
      </c>
      <c r="B47" s="2" t="s">
        <v>232</v>
      </c>
      <c r="C47" s="5" t="s">
        <v>645</v>
      </c>
      <c r="D47" s="11" t="n">
        <v>0.75</v>
      </c>
      <c r="E47" s="11" t="n">
        <v>-0.264123260652321</v>
      </c>
      <c r="F47" s="11" t="n">
        <v>-0.46095707401511</v>
      </c>
      <c r="G47" s="11" t="n">
        <v>0.539841926758146</v>
      </c>
      <c r="H47" s="11" t="n">
        <v>0</v>
      </c>
      <c r="I47" s="11" t="n">
        <v>-1.11022302462516E-016</v>
      </c>
      <c r="J47" s="15" t="n">
        <v>1.66721473934909</v>
      </c>
      <c r="K47" s="2" t="s">
        <v>671</v>
      </c>
    </row>
    <row r="48" customFormat="false" ht="68.65" hidden="false" customHeight="false" outlineLevel="0" collapsed="false">
      <c r="A48" s="5" t="s">
        <v>641</v>
      </c>
      <c r="B48" s="2" t="s">
        <v>232</v>
      </c>
      <c r="C48" s="5" t="s">
        <v>645</v>
      </c>
      <c r="D48" s="11" t="n">
        <v>0.5</v>
      </c>
      <c r="E48" s="11" t="n">
        <v>-0.375958761991405</v>
      </c>
      <c r="F48" s="11" t="n">
        <v>-0.664194602794396</v>
      </c>
      <c r="G48" s="11" t="n">
        <v>0.770638154490873</v>
      </c>
      <c r="H48" s="11" t="n">
        <v>0</v>
      </c>
      <c r="I48" s="11" t="n">
        <v>0</v>
      </c>
      <c r="J48" s="15" t="n">
        <v>2.1943767023959</v>
      </c>
      <c r="K48" s="2" t="s">
        <v>672</v>
      </c>
    </row>
    <row r="49" customFormat="false" ht="68.65" hidden="false" customHeight="false" outlineLevel="0" collapsed="false">
      <c r="A49" s="5" t="s">
        <v>641</v>
      </c>
      <c r="B49" s="2" t="s">
        <v>232</v>
      </c>
      <c r="C49" s="5" t="s">
        <v>645</v>
      </c>
      <c r="D49" s="11" t="n">
        <v>0.25</v>
      </c>
      <c r="E49" s="11" t="n">
        <v>-0.432853494155925</v>
      </c>
      <c r="F49" s="11" t="n">
        <v>-0.771510708012162</v>
      </c>
      <c r="G49" s="11" t="n">
        <v>0.89340597618123</v>
      </c>
      <c r="H49" s="11" t="n">
        <v>0</v>
      </c>
      <c r="I49" s="11" t="n">
        <v>0</v>
      </c>
      <c r="J49" s="15" t="n">
        <v>2.67560972234613</v>
      </c>
      <c r="K49" s="2" t="s">
        <v>673</v>
      </c>
    </row>
    <row r="50" customFormat="false" ht="68.65" hidden="false" customHeight="false" outlineLevel="0" collapsed="false">
      <c r="A50" s="5" t="s">
        <v>641</v>
      </c>
      <c r="B50" s="2" t="s">
        <v>232</v>
      </c>
      <c r="C50" s="5" t="s">
        <v>645</v>
      </c>
      <c r="D50" s="11" t="n">
        <v>0.1</v>
      </c>
      <c r="E50" s="11" t="n">
        <v>-0.454212100737971</v>
      </c>
      <c r="F50" s="11" t="n">
        <v>-0.812833901398168</v>
      </c>
      <c r="G50" s="11" t="n">
        <v>0.947249426238924</v>
      </c>
      <c r="H50" s="11" t="n">
        <v>0</v>
      </c>
      <c r="I50" s="11" t="n">
        <v>0</v>
      </c>
      <c r="J50" s="15" t="n">
        <v>3.05620072792098</v>
      </c>
      <c r="K50" s="2" t="s">
        <v>674</v>
      </c>
    </row>
    <row r="51" customFormat="false" ht="68.65" hidden="false" customHeight="false" outlineLevel="0" collapsed="false">
      <c r="A51" s="5" t="s">
        <v>641</v>
      </c>
      <c r="B51" s="2" t="s">
        <v>236</v>
      </c>
      <c r="C51" s="5" t="s">
        <v>642</v>
      </c>
      <c r="D51" s="11" t="n">
        <v>0.9</v>
      </c>
      <c r="E51" s="11" t="n">
        <v>-0.005153319503159</v>
      </c>
      <c r="F51" s="11" t="n">
        <v>-0.0115434414548917</v>
      </c>
      <c r="G51" s="11" t="n">
        <v>0.156040994853789</v>
      </c>
      <c r="H51" s="11" t="n">
        <v>0</v>
      </c>
      <c r="I51" s="11" t="n">
        <v>-0.00572426874730292</v>
      </c>
      <c r="J51" s="15" t="n">
        <v>1.0213345485631</v>
      </c>
      <c r="K51" s="2" t="s">
        <v>675</v>
      </c>
    </row>
    <row r="52" customFormat="false" ht="68.65" hidden="false" customHeight="false" outlineLevel="0" collapsed="false">
      <c r="A52" s="5" t="s">
        <v>641</v>
      </c>
      <c r="B52" s="2" t="s">
        <v>236</v>
      </c>
      <c r="C52" s="5" t="s">
        <v>642</v>
      </c>
      <c r="D52" s="11" t="n">
        <v>0.75</v>
      </c>
      <c r="E52" s="11" t="n">
        <v>-0.0126452465356677</v>
      </c>
      <c r="F52" s="11" t="n">
        <v>-0.0283930787441757</v>
      </c>
      <c r="G52" s="11" t="n">
        <v>0.368922792774752</v>
      </c>
      <c r="H52" s="11" t="n">
        <v>0</v>
      </c>
      <c r="I52" s="11" t="n">
        <v>-0.0140403662139536</v>
      </c>
      <c r="J52" s="15" t="n">
        <v>1.05376644175266</v>
      </c>
      <c r="K52" s="2" t="s">
        <v>676</v>
      </c>
    </row>
    <row r="53" customFormat="false" ht="68.65" hidden="false" customHeight="false" outlineLevel="0" collapsed="false">
      <c r="A53" s="5" t="s">
        <v>641</v>
      </c>
      <c r="B53" s="2" t="s">
        <v>236</v>
      </c>
      <c r="C53" s="5" t="s">
        <v>642</v>
      </c>
      <c r="D53" s="11" t="n">
        <v>0.5</v>
      </c>
      <c r="E53" s="11" t="n">
        <v>-0.0245230046486149</v>
      </c>
      <c r="F53" s="11" t="n">
        <v>-0.055276850303407</v>
      </c>
      <c r="G53" s="11" t="n">
        <v>0.665989927252813</v>
      </c>
      <c r="H53" s="11" t="n">
        <v>0</v>
      </c>
      <c r="I53" s="11" t="n">
        <v>-0.0272103879587274</v>
      </c>
      <c r="J53" s="15" t="n">
        <v>1.10892150189475</v>
      </c>
      <c r="K53" s="2" t="s">
        <v>677</v>
      </c>
    </row>
    <row r="54" customFormat="false" ht="68.65" hidden="false" customHeight="false" outlineLevel="0" collapsed="false">
      <c r="A54" s="5" t="s">
        <v>641</v>
      </c>
      <c r="B54" s="2" t="s">
        <v>236</v>
      </c>
      <c r="C54" s="5" t="s">
        <v>642</v>
      </c>
      <c r="D54" s="11" t="n">
        <v>0.25</v>
      </c>
      <c r="E54" s="11" t="n">
        <v>-0.0356814611434779</v>
      </c>
      <c r="F54" s="11" t="n">
        <v>-0.0807312639760446</v>
      </c>
      <c r="G54" s="11" t="n">
        <v>0.885091407997006</v>
      </c>
      <c r="H54" s="11" t="n">
        <v>0</v>
      </c>
      <c r="I54" s="11" t="n">
        <v>-0.0395666322250617</v>
      </c>
      <c r="J54" s="15" t="n">
        <v>1.16538171501666</v>
      </c>
      <c r="K54" s="2" t="s">
        <v>678</v>
      </c>
    </row>
    <row r="55" customFormat="false" ht="68.65" hidden="false" customHeight="false" outlineLevel="0" collapsed="false">
      <c r="A55" s="5" t="s">
        <v>641</v>
      </c>
      <c r="B55" s="2" t="s">
        <v>236</v>
      </c>
      <c r="C55" s="5" t="s">
        <v>642</v>
      </c>
      <c r="D55" s="11" t="n">
        <v>0.1</v>
      </c>
      <c r="E55" s="11" t="n">
        <v>-0.0420508344050603</v>
      </c>
      <c r="F55" s="11" t="n">
        <v>-0.0953509869973492</v>
      </c>
      <c r="G55" s="11" t="n">
        <v>0.971392486358883</v>
      </c>
      <c r="H55" s="11" t="n">
        <v>0</v>
      </c>
      <c r="I55" s="11" t="n">
        <v>-0.0466126090364951</v>
      </c>
      <c r="J55" s="15" t="n">
        <v>1.1998503043364</v>
      </c>
      <c r="K55" s="2" t="s">
        <v>679</v>
      </c>
    </row>
    <row r="56" customFormat="false" ht="68.65" hidden="false" customHeight="false" outlineLevel="0" collapsed="false">
      <c r="A56" s="5" t="s">
        <v>641</v>
      </c>
      <c r="B56" s="2" t="s">
        <v>236</v>
      </c>
      <c r="C56" s="5" t="s">
        <v>642</v>
      </c>
      <c r="D56" s="11" t="n">
        <v>0.06</v>
      </c>
      <c r="E56" s="11" t="n">
        <v>-0.0437097154265798</v>
      </c>
      <c r="F56" s="11" t="n">
        <v>-0.0991696928587862</v>
      </c>
      <c r="G56" s="11" t="n">
        <v>0.986760552416016</v>
      </c>
      <c r="H56" s="11" t="n">
        <v>0</v>
      </c>
      <c r="I56" s="11" t="n">
        <v>-0.048446856235441</v>
      </c>
      <c r="J56" s="15" t="n">
        <v>1.20911411975174</v>
      </c>
      <c r="K56" s="2" t="s">
        <v>680</v>
      </c>
    </row>
    <row r="57" customFormat="false" ht="68.65" hidden="false" customHeight="false" outlineLevel="0" collapsed="false">
      <c r="A57" s="5" t="s">
        <v>641</v>
      </c>
      <c r="B57" s="2" t="s">
        <v>236</v>
      </c>
      <c r="C57" s="5" t="s">
        <v>645</v>
      </c>
      <c r="D57" s="11" t="n">
        <v>0.9</v>
      </c>
      <c r="E57" s="11" t="n">
        <v>-0.0091112629156942</v>
      </c>
      <c r="F57" s="11" t="n">
        <v>-0.0156607202229603</v>
      </c>
      <c r="G57" s="11" t="n">
        <v>0.159556389094405</v>
      </c>
      <c r="H57" s="11" t="n">
        <v>0</v>
      </c>
      <c r="I57" s="11" t="n">
        <v>0</v>
      </c>
      <c r="J57" s="15" t="n">
        <v>1.02911514886431</v>
      </c>
      <c r="K57" s="2" t="s">
        <v>681</v>
      </c>
    </row>
    <row r="58" customFormat="false" ht="68.65" hidden="false" customHeight="false" outlineLevel="0" collapsed="false">
      <c r="A58" s="5" t="s">
        <v>641</v>
      </c>
      <c r="B58" s="2" t="s">
        <v>236</v>
      </c>
      <c r="C58" s="5" t="s">
        <v>645</v>
      </c>
      <c r="D58" s="11" t="n">
        <v>0.75</v>
      </c>
      <c r="E58" s="11" t="n">
        <v>-0.0220646695609812</v>
      </c>
      <c r="F58" s="11" t="n">
        <v>-0.0379457959345236</v>
      </c>
      <c r="G58" s="11" t="n">
        <v>0.375127464596259</v>
      </c>
      <c r="H58" s="11" t="n">
        <v>0</v>
      </c>
      <c r="I58" s="11" t="n">
        <v>0</v>
      </c>
      <c r="J58" s="15" t="n">
        <v>1.07286798954636</v>
      </c>
      <c r="K58" s="2" t="s">
        <v>682</v>
      </c>
    </row>
    <row r="59" customFormat="false" ht="68.65" hidden="false" customHeight="false" outlineLevel="0" collapsed="false">
      <c r="A59" s="5" t="s">
        <v>641</v>
      </c>
      <c r="B59" s="2" t="s">
        <v>236</v>
      </c>
      <c r="C59" s="5" t="s">
        <v>645</v>
      </c>
      <c r="D59" s="11" t="n">
        <v>0.5</v>
      </c>
      <c r="E59" s="11" t="n">
        <v>-0.0419513068537454</v>
      </c>
      <c r="F59" s="11" t="n">
        <v>-0.0722079475262719</v>
      </c>
      <c r="G59" s="11" t="n">
        <v>0.671975974082421</v>
      </c>
      <c r="H59" s="11" t="n">
        <v>0</v>
      </c>
      <c r="I59" s="11" t="n">
        <v>0</v>
      </c>
      <c r="J59" s="15" t="n">
        <v>1.14598950400303</v>
      </c>
      <c r="K59" s="2" t="s">
        <v>683</v>
      </c>
    </row>
    <row r="60" customFormat="false" ht="68.65" hidden="false" customHeight="false" outlineLevel="0" collapsed="false">
      <c r="A60" s="5" t="s">
        <v>641</v>
      </c>
      <c r="B60" s="2" t="s">
        <v>236</v>
      </c>
      <c r="C60" s="5" t="s">
        <v>645</v>
      </c>
      <c r="D60" s="11" t="n">
        <v>0.25</v>
      </c>
      <c r="E60" s="11" t="n">
        <v>-0.0599853107055253</v>
      </c>
      <c r="F60" s="11" t="n">
        <v>-0.103333259614979</v>
      </c>
      <c r="G60" s="11" t="n">
        <v>0.887916657451872</v>
      </c>
      <c r="H60" s="11" t="n">
        <v>0</v>
      </c>
      <c r="I60" s="11" t="n">
        <v>0</v>
      </c>
      <c r="J60" s="15" t="n">
        <v>1.21934146770002</v>
      </c>
      <c r="K60" s="2" t="s">
        <v>684</v>
      </c>
    </row>
    <row r="61" customFormat="false" ht="68.65" hidden="false" customHeight="false" outlineLevel="0" collapsed="false">
      <c r="A61" s="5" t="s">
        <v>641</v>
      </c>
      <c r="B61" s="2" t="s">
        <v>236</v>
      </c>
      <c r="C61" s="5" t="s">
        <v>645</v>
      </c>
      <c r="D61" s="11" t="n">
        <v>0.1</v>
      </c>
      <c r="E61" s="11" t="n">
        <v>-0.0700276261637451</v>
      </c>
      <c r="F61" s="11" t="n">
        <v>-0.120689711520825</v>
      </c>
      <c r="G61" s="11" t="n">
        <v>0.972193767183861</v>
      </c>
      <c r="H61" s="11" t="n">
        <v>0</v>
      </c>
      <c r="I61" s="11" t="n">
        <v>0</v>
      </c>
      <c r="J61" s="15" t="n">
        <v>1.26345482629303</v>
      </c>
      <c r="K61" s="2" t="s">
        <v>685</v>
      </c>
    </row>
    <row r="62" customFormat="false" ht="68.65" hidden="false" customHeight="false" outlineLevel="0" collapsed="false">
      <c r="A62" s="5" t="s">
        <v>641</v>
      </c>
      <c r="B62" s="2" t="s">
        <v>236</v>
      </c>
      <c r="C62" s="5" t="s">
        <v>645</v>
      </c>
      <c r="D62" s="11" t="n">
        <v>0.06</v>
      </c>
      <c r="E62" s="11" t="n">
        <v>-0.0726152609430844</v>
      </c>
      <c r="F62" s="11" t="n">
        <v>-0.125164924693966</v>
      </c>
      <c r="G62" s="11" t="n">
        <v>0.987142602738465</v>
      </c>
      <c r="H62" s="11" t="n">
        <v>0</v>
      </c>
      <c r="I62" s="11" t="n">
        <v>2.22044604925031E-016</v>
      </c>
      <c r="J62" s="15" t="n">
        <v>1.27523067420374</v>
      </c>
      <c r="K62" s="2" t="s">
        <v>686</v>
      </c>
    </row>
    <row r="63" customFormat="false" ht="68.65" hidden="false" customHeight="false" outlineLevel="0" collapsed="false">
      <c r="A63" s="5" t="s">
        <v>641</v>
      </c>
      <c r="B63" s="2" t="s">
        <v>240</v>
      </c>
      <c r="C63" s="5" t="s">
        <v>642</v>
      </c>
      <c r="D63" s="11" t="n">
        <v>0.9</v>
      </c>
      <c r="E63" s="11" t="n">
        <v>-0.00115240563315999</v>
      </c>
      <c r="F63" s="11" t="n">
        <v>-0.00257814727577321</v>
      </c>
      <c r="G63" s="11" t="n">
        <v>0.192088299293376</v>
      </c>
      <c r="H63" s="11" t="n">
        <v>0</v>
      </c>
      <c r="I63" s="11" t="n">
        <v>-0.0012803686978039</v>
      </c>
      <c r="J63" s="15" t="n">
        <v>1.00470462565554</v>
      </c>
      <c r="K63" s="2" t="s">
        <v>687</v>
      </c>
    </row>
    <row r="64" customFormat="false" ht="68.65" hidden="false" customHeight="false" outlineLevel="0" collapsed="false">
      <c r="A64" s="5" t="s">
        <v>641</v>
      </c>
      <c r="B64" s="2" t="s">
        <v>240</v>
      </c>
      <c r="C64" s="5" t="s">
        <v>642</v>
      </c>
      <c r="D64" s="11" t="n">
        <v>0.75</v>
      </c>
      <c r="E64" s="11" t="n">
        <v>-0.0028691334245643</v>
      </c>
      <c r="F64" s="11" t="n">
        <v>-0.00642224172249595</v>
      </c>
      <c r="G64" s="11" t="n">
        <v>0.441112510968904</v>
      </c>
      <c r="H64" s="11" t="n">
        <v>0</v>
      </c>
      <c r="I64" s="11" t="n">
        <v>-0.00318741745110951</v>
      </c>
      <c r="J64" s="15" t="n">
        <v>1.01178334307284</v>
      </c>
      <c r="K64" s="2" t="s">
        <v>688</v>
      </c>
    </row>
    <row r="65" customFormat="false" ht="68.65" hidden="false" customHeight="false" outlineLevel="0" collapsed="false">
      <c r="A65" s="5" t="s">
        <v>641</v>
      </c>
      <c r="B65" s="2" t="s">
        <v>240</v>
      </c>
      <c r="C65" s="5" t="s">
        <v>642</v>
      </c>
      <c r="D65" s="11" t="n">
        <v>0.5</v>
      </c>
      <c r="E65" s="11" t="n">
        <v>-0.0056989501356548</v>
      </c>
      <c r="F65" s="11" t="n">
        <v>-0.012767855611218</v>
      </c>
      <c r="G65" s="11" t="n">
        <v>0.753191963902805</v>
      </c>
      <c r="H65" s="11" t="n">
        <v>0</v>
      </c>
      <c r="I65" s="11" t="n">
        <v>-0.0063301586061344</v>
      </c>
      <c r="J65" s="15" t="n">
        <v>1.02363882546075</v>
      </c>
      <c r="K65" s="2" t="s">
        <v>689</v>
      </c>
    </row>
    <row r="66" customFormat="false" ht="68.65" hidden="false" customHeight="false" outlineLevel="0" collapsed="false">
      <c r="A66" s="5" t="s">
        <v>641</v>
      </c>
      <c r="B66" s="2" t="s">
        <v>240</v>
      </c>
      <c r="C66" s="5" t="s">
        <v>645</v>
      </c>
      <c r="D66" s="11" t="n">
        <v>0.9</v>
      </c>
      <c r="E66" s="11" t="n">
        <v>-0.00200796245092816</v>
      </c>
      <c r="F66" s="11" t="n">
        <v>-0.00345035799514359</v>
      </c>
      <c r="G66" s="11" t="n">
        <v>0.192794789976066</v>
      </c>
      <c r="H66" s="11" t="n">
        <v>0</v>
      </c>
      <c r="I66" s="11" t="n">
        <v>0</v>
      </c>
      <c r="J66" s="15" t="n">
        <v>1.00630401300712</v>
      </c>
      <c r="K66" s="2" t="s">
        <v>687</v>
      </c>
    </row>
    <row r="67" customFormat="false" ht="68.65" hidden="false" customHeight="false" outlineLevel="0" collapsed="false">
      <c r="A67" s="5" t="s">
        <v>641</v>
      </c>
      <c r="B67" s="2" t="s">
        <v>240</v>
      </c>
      <c r="C67" s="5" t="s">
        <v>645</v>
      </c>
      <c r="D67" s="11" t="n">
        <v>0.75</v>
      </c>
      <c r="E67" s="11" t="n">
        <v>-0.00498528828336742</v>
      </c>
      <c r="F67" s="11" t="n">
        <v>-0.00856743427119777</v>
      </c>
      <c r="G67" s="11" t="n">
        <v>0.442319181777549</v>
      </c>
      <c r="H67" s="11" t="n">
        <v>0</v>
      </c>
      <c r="I67" s="11" t="n">
        <v>0</v>
      </c>
      <c r="J67" s="15" t="n">
        <v>1.01576727708392</v>
      </c>
      <c r="K67" s="2" t="s">
        <v>690</v>
      </c>
    </row>
    <row r="68" customFormat="false" ht="68.65" hidden="false" customHeight="false" outlineLevel="0" collapsed="false">
      <c r="A68" s="5" t="s">
        <v>641</v>
      </c>
      <c r="B68" s="2" t="s">
        <v>240</v>
      </c>
      <c r="C68" s="5" t="s">
        <v>645</v>
      </c>
      <c r="D68" s="11" t="n">
        <v>0.5</v>
      </c>
      <c r="E68" s="11" t="n">
        <v>-0.00985738966371574</v>
      </c>
      <c r="F68" s="11" t="n">
        <v>-0.0169437016542229</v>
      </c>
      <c r="G68" s="11" t="n">
        <v>0.754235925413556</v>
      </c>
      <c r="H68" s="11" t="n">
        <v>0</v>
      </c>
      <c r="I68" s="11" t="n">
        <v>0</v>
      </c>
      <c r="J68" s="15" t="n">
        <v>1.03155843906478</v>
      </c>
      <c r="K68" s="2" t="s">
        <v>691</v>
      </c>
    </row>
    <row r="69" customFormat="false" ht="68.65" hidden="false" customHeight="false" outlineLevel="0" collapsed="false">
      <c r="A69" s="5" t="s">
        <v>641</v>
      </c>
      <c r="B69" s="2" t="s">
        <v>247</v>
      </c>
      <c r="C69" s="5" t="s">
        <v>642</v>
      </c>
      <c r="D69" s="11" t="n">
        <v>0.9</v>
      </c>
      <c r="E69" s="11" t="n">
        <v>-0.00182714563680642</v>
      </c>
      <c r="F69" s="11" t="n">
        <v>-0.00182714563680642</v>
      </c>
      <c r="G69" s="11" t="n">
        <v>0.0825133315234174</v>
      </c>
      <c r="H69" s="11" t="n">
        <v>0</v>
      </c>
      <c r="I69" s="11" t="n">
        <v>-0.0020299556291612</v>
      </c>
      <c r="J69" s="15" t="n">
        <v>1.0039093394168</v>
      </c>
      <c r="K69" s="2" t="s">
        <v>692</v>
      </c>
    </row>
    <row r="70" customFormat="false" ht="68.65" hidden="false" customHeight="false" outlineLevel="0" collapsed="false">
      <c r="A70" s="5" t="s">
        <v>641</v>
      </c>
      <c r="B70" s="2" t="s">
        <v>247</v>
      </c>
      <c r="C70" s="5" t="s">
        <v>642</v>
      </c>
      <c r="D70" s="11" t="n">
        <v>0.75</v>
      </c>
      <c r="E70" s="11" t="n">
        <v>-0.00455860914202644</v>
      </c>
      <c r="F70" s="11" t="n">
        <v>-0.00455860914202644</v>
      </c>
      <c r="G70" s="11" t="n">
        <v>0.209203559827334</v>
      </c>
      <c r="H70" s="11" t="n">
        <v>0</v>
      </c>
      <c r="I70" s="11" t="n">
        <v>-0.00506383675986533</v>
      </c>
      <c r="J70" s="15" t="n">
        <v>1.00979672500824</v>
      </c>
      <c r="K70" s="2" t="s">
        <v>693</v>
      </c>
    </row>
    <row r="71" customFormat="false" ht="68.65" hidden="false" customHeight="false" outlineLevel="0" collapsed="false">
      <c r="A71" s="5" t="s">
        <v>641</v>
      </c>
      <c r="B71" s="2" t="s">
        <v>247</v>
      </c>
      <c r="C71" s="5" t="s">
        <v>642</v>
      </c>
      <c r="D71" s="11" t="n">
        <v>0.5</v>
      </c>
      <c r="E71" s="11" t="n">
        <v>-0.00908641140580824</v>
      </c>
      <c r="F71" s="11" t="n">
        <v>-0.00908641140580824</v>
      </c>
      <c r="G71" s="11" t="n">
        <v>0.430869595418822</v>
      </c>
      <c r="H71" s="11" t="n">
        <v>0</v>
      </c>
      <c r="I71" s="11" t="n">
        <v>-0.0100909024192566</v>
      </c>
      <c r="J71" s="15" t="n">
        <v>1.01967139127133</v>
      </c>
      <c r="K71" s="2" t="s">
        <v>694</v>
      </c>
    </row>
    <row r="72" customFormat="false" ht="68.65" hidden="false" customHeight="false" outlineLevel="0" collapsed="false">
      <c r="A72" s="5" t="s">
        <v>641</v>
      </c>
      <c r="B72" s="2" t="s">
        <v>247</v>
      </c>
      <c r="C72" s="5" t="s">
        <v>642</v>
      </c>
      <c r="D72" s="11" t="n">
        <v>0.25</v>
      </c>
      <c r="E72" s="11" t="n">
        <v>-0.0135834919940734</v>
      </c>
      <c r="F72" s="11" t="n">
        <v>-0.0135834919940734</v>
      </c>
      <c r="G72" s="11" t="n">
        <v>0.674603903592301</v>
      </c>
      <c r="H72" s="11" t="n">
        <v>0</v>
      </c>
      <c r="I72" s="11" t="n">
        <v>-0.0150813331622166</v>
      </c>
      <c r="J72" s="15" t="n">
        <v>1.02962403521267</v>
      </c>
      <c r="K72" s="2" t="s">
        <v>695</v>
      </c>
    </row>
    <row r="73" customFormat="false" ht="68.65" hidden="false" customHeight="false" outlineLevel="0" collapsed="false">
      <c r="A73" s="5" t="s">
        <v>641</v>
      </c>
      <c r="B73" s="2" t="s">
        <v>247</v>
      </c>
      <c r="C73" s="5" t="s">
        <v>642</v>
      </c>
      <c r="D73" s="11" t="n">
        <v>0.15</v>
      </c>
      <c r="E73" s="11" t="n">
        <v>-0.0153737419981339</v>
      </c>
      <c r="F73" s="11" t="n">
        <v>-0.0153737419981339</v>
      </c>
      <c r="G73" s="11" t="n">
        <v>0.784153793366771</v>
      </c>
      <c r="H73" s="11" t="n">
        <v>0</v>
      </c>
      <c r="I73" s="11" t="n">
        <v>-0.0170672789821502</v>
      </c>
      <c r="J73" s="15" t="n">
        <v>1.03362693326224</v>
      </c>
      <c r="K73" s="2" t="s">
        <v>696</v>
      </c>
    </row>
    <row r="74" customFormat="false" ht="68.65" hidden="false" customHeight="false" outlineLevel="0" collapsed="false">
      <c r="A74" s="5" t="s">
        <v>641</v>
      </c>
      <c r="B74" s="2" t="s">
        <v>247</v>
      </c>
      <c r="C74" s="5" t="s">
        <v>645</v>
      </c>
      <c r="D74" s="11" t="n">
        <v>0.9</v>
      </c>
      <c r="E74" s="11" t="n">
        <v>-0.00322068191806713</v>
      </c>
      <c r="F74" s="11" t="n">
        <v>-0.00322068191806713</v>
      </c>
      <c r="G74" s="11" t="n">
        <v>0.0837942228585267</v>
      </c>
      <c r="H74" s="11" t="n">
        <v>0</v>
      </c>
      <c r="I74" s="11" t="n">
        <v>0</v>
      </c>
      <c r="J74" s="15" t="n">
        <v>1.0069064671218</v>
      </c>
      <c r="K74" s="2" t="s">
        <v>697</v>
      </c>
    </row>
    <row r="75" customFormat="false" ht="68.65" hidden="false" customHeight="false" outlineLevel="0" collapsed="false">
      <c r="A75" s="5" t="s">
        <v>641</v>
      </c>
      <c r="B75" s="2" t="s">
        <v>247</v>
      </c>
      <c r="C75" s="5" t="s">
        <v>645</v>
      </c>
      <c r="D75" s="11" t="n">
        <v>0.75</v>
      </c>
      <c r="E75" s="11" t="n">
        <v>-0.00799967140874469</v>
      </c>
      <c r="F75" s="11" t="n">
        <v>-0.00799967140874469</v>
      </c>
      <c r="G75" s="11" t="n">
        <v>0.211937201220915</v>
      </c>
      <c r="H75" s="11" t="n">
        <v>0</v>
      </c>
      <c r="I75" s="11" t="n">
        <v>0</v>
      </c>
      <c r="J75" s="15" t="n">
        <v>1.017288072381</v>
      </c>
      <c r="K75" s="2" t="s">
        <v>698</v>
      </c>
    </row>
    <row r="76" customFormat="false" ht="68.65" hidden="false" customHeight="false" outlineLevel="0" collapsed="false">
      <c r="A76" s="5" t="s">
        <v>641</v>
      </c>
      <c r="B76" s="2" t="s">
        <v>247</v>
      </c>
      <c r="C76" s="5" t="s">
        <v>645</v>
      </c>
      <c r="D76" s="11" t="n">
        <v>0.5</v>
      </c>
      <c r="E76" s="11" t="n">
        <v>-0.0158290497401568</v>
      </c>
      <c r="F76" s="11" t="n">
        <v>-0.0158290497401568</v>
      </c>
      <c r="G76" s="11" t="n">
        <v>0.434742224200325</v>
      </c>
      <c r="H76" s="11" t="n">
        <v>0</v>
      </c>
      <c r="I76" s="11" t="n">
        <v>-1.11022302462516E-016</v>
      </c>
      <c r="J76" s="15" t="n">
        <v>1.03464872082551</v>
      </c>
      <c r="K76" s="2" t="s">
        <v>699</v>
      </c>
    </row>
    <row r="77" customFormat="false" ht="68.65" hidden="false" customHeight="false" outlineLevel="0" collapsed="false">
      <c r="A77" s="5" t="s">
        <v>641</v>
      </c>
      <c r="B77" s="2" t="s">
        <v>247</v>
      </c>
      <c r="C77" s="5" t="s">
        <v>645</v>
      </c>
      <c r="D77" s="11" t="n">
        <v>0.25</v>
      </c>
      <c r="E77" s="11" t="n">
        <v>-0.0234938708542043</v>
      </c>
      <c r="F77" s="11" t="n">
        <v>-0.0234938708542043</v>
      </c>
      <c r="G77" s="11" t="n">
        <v>0.677873109418476</v>
      </c>
      <c r="H77" s="11" t="n">
        <v>0</v>
      </c>
      <c r="I77" s="11" t="n">
        <v>0</v>
      </c>
      <c r="J77" s="15" t="n">
        <v>1.05208114172994</v>
      </c>
      <c r="K77" s="2" t="s">
        <v>700</v>
      </c>
    </row>
    <row r="78" customFormat="false" ht="68.65" hidden="false" customHeight="false" outlineLevel="0" collapsed="false">
      <c r="A78" s="5" t="s">
        <v>641</v>
      </c>
      <c r="B78" s="2" t="s">
        <v>247</v>
      </c>
      <c r="C78" s="5" t="s">
        <v>645</v>
      </c>
      <c r="D78" s="11" t="n">
        <v>0.15</v>
      </c>
      <c r="E78" s="11" t="n">
        <v>-0.0265149580977588</v>
      </c>
      <c r="F78" s="11" t="n">
        <v>-0.0265149580977588</v>
      </c>
      <c r="G78" s="11" t="n">
        <v>0.786596130459492</v>
      </c>
      <c r="H78" s="11" t="n">
        <v>0</v>
      </c>
      <c r="I78" s="11" t="n">
        <v>0</v>
      </c>
      <c r="J78" s="15" t="n">
        <v>1.05907402985216</v>
      </c>
      <c r="K78" s="2" t="s">
        <v>701</v>
      </c>
    </row>
    <row r="79" customFormat="false" ht="68.65" hidden="false" customHeight="false" outlineLevel="0" collapsed="false">
      <c r="A79" s="5" t="s">
        <v>641</v>
      </c>
      <c r="B79" s="2" t="s">
        <v>251</v>
      </c>
      <c r="C79" s="5" t="s">
        <v>642</v>
      </c>
      <c r="D79" s="11" t="n">
        <v>0.9</v>
      </c>
      <c r="E79" s="11" t="n">
        <v>-0.00121556448096394</v>
      </c>
      <c r="F79" s="11" t="n">
        <v>-0.00121556448096394</v>
      </c>
      <c r="G79" s="11" t="n">
        <v>0.0624007061194445</v>
      </c>
      <c r="H79" s="11" t="n">
        <v>0</v>
      </c>
      <c r="I79" s="11" t="n">
        <v>-0.00135053595850976</v>
      </c>
      <c r="J79" s="15" t="n">
        <v>1.0025982418217</v>
      </c>
      <c r="K79" s="2" t="s">
        <v>692</v>
      </c>
    </row>
    <row r="80" customFormat="false" ht="68.65" hidden="false" customHeight="false" outlineLevel="0" collapsed="false">
      <c r="A80" s="5" t="s">
        <v>641</v>
      </c>
      <c r="B80" s="2" t="s">
        <v>251</v>
      </c>
      <c r="C80" s="5" t="s">
        <v>642</v>
      </c>
      <c r="D80" s="11" t="n">
        <v>0.75</v>
      </c>
      <c r="E80" s="11" t="n">
        <v>-0.00303483528161053</v>
      </c>
      <c r="F80" s="11" t="n">
        <v>-0.00303483528161053</v>
      </c>
      <c r="G80" s="11" t="n">
        <v>0.161087352710189</v>
      </c>
      <c r="H80" s="11" t="n">
        <v>0</v>
      </c>
      <c r="I80" s="11" t="n">
        <v>-0.00337147015740635</v>
      </c>
      <c r="J80" s="15" t="n">
        <v>1.00650598002662</v>
      </c>
      <c r="K80" s="2" t="s">
        <v>697</v>
      </c>
    </row>
    <row r="81" customFormat="false" ht="68.65" hidden="false" customHeight="false" outlineLevel="0" collapsed="false">
      <c r="A81" s="5" t="s">
        <v>641</v>
      </c>
      <c r="B81" s="2" t="s">
        <v>251</v>
      </c>
      <c r="C81" s="5" t="s">
        <v>642</v>
      </c>
      <c r="D81" s="11" t="n">
        <v>0.5</v>
      </c>
      <c r="E81" s="11" t="n">
        <v>-0.00605609544004593</v>
      </c>
      <c r="F81" s="11" t="n">
        <v>-0.00605609544004593</v>
      </c>
      <c r="G81" s="11" t="n">
        <v>0.344241577534321</v>
      </c>
      <c r="H81" s="11" t="n">
        <v>0</v>
      </c>
      <c r="I81" s="11" t="n">
        <v>-0.0067267268906227</v>
      </c>
      <c r="J81" s="15" t="n">
        <v>1.01304655061801</v>
      </c>
      <c r="K81" s="2" t="s">
        <v>702</v>
      </c>
    </row>
    <row r="82" customFormat="false" ht="68.65" hidden="false" customHeight="false" outlineLevel="0" collapsed="false">
      <c r="A82" s="5" t="s">
        <v>641</v>
      </c>
      <c r="B82" s="2" t="s">
        <v>251</v>
      </c>
      <c r="C82" s="5" t="s">
        <v>642</v>
      </c>
      <c r="D82" s="11" t="n">
        <v>0.25</v>
      </c>
      <c r="E82" s="11" t="n">
        <v>-0.00906380441161181</v>
      </c>
      <c r="F82" s="11" t="n">
        <v>-0.00906380441161181</v>
      </c>
      <c r="G82" s="11" t="n">
        <v>0.568669968370005</v>
      </c>
      <c r="H82" s="11" t="n">
        <v>0</v>
      </c>
      <c r="I82" s="11" t="n">
        <v>-0.0100658089680712</v>
      </c>
      <c r="J82" s="15" t="n">
        <v>1.01962172629331</v>
      </c>
      <c r="K82" s="2" t="s">
        <v>694</v>
      </c>
    </row>
    <row r="83" customFormat="false" ht="68.65" hidden="false" customHeight="false" outlineLevel="0" collapsed="false">
      <c r="A83" s="5" t="s">
        <v>641</v>
      </c>
      <c r="B83" s="2" t="s">
        <v>251</v>
      </c>
      <c r="C83" s="5" t="s">
        <v>642</v>
      </c>
      <c r="D83" s="11" t="n">
        <v>0.1</v>
      </c>
      <c r="E83" s="11" t="n">
        <v>-0.0108619355893007</v>
      </c>
      <c r="F83" s="11" t="n">
        <v>-0.0108619355893007</v>
      </c>
      <c r="G83" s="11" t="n">
        <v>0.751539751711712</v>
      </c>
      <c r="H83" s="11" t="n">
        <v>0</v>
      </c>
      <c r="I83" s="11" t="n">
        <v>-0.0120615109442205</v>
      </c>
      <c r="J83" s="15" t="n">
        <v>1.02358344788142</v>
      </c>
      <c r="K83" s="2" t="s">
        <v>703</v>
      </c>
    </row>
    <row r="84" customFormat="false" ht="68.65" hidden="false" customHeight="false" outlineLevel="0" collapsed="false">
      <c r="A84" s="5" t="s">
        <v>641</v>
      </c>
      <c r="B84" s="2" t="s">
        <v>251</v>
      </c>
      <c r="C84" s="5" t="s">
        <v>642</v>
      </c>
      <c r="D84" s="11" t="n">
        <v>0.05</v>
      </c>
      <c r="E84" s="11" t="n">
        <v>-0.0114602314997709</v>
      </c>
      <c r="F84" s="11" t="n">
        <v>-0.0114602314997709</v>
      </c>
      <c r="G84" s="11" t="n">
        <v>0.836176519649704</v>
      </c>
      <c r="H84" s="11" t="n">
        <v>0</v>
      </c>
      <c r="I84" s="11" t="n">
        <v>-0.0127254556598447</v>
      </c>
      <c r="J84" s="15" t="n">
        <v>1.02490679171544</v>
      </c>
      <c r="K84" s="2" t="s">
        <v>703</v>
      </c>
    </row>
    <row r="85" customFormat="false" ht="68.65" hidden="false" customHeight="false" outlineLevel="0" collapsed="false">
      <c r="A85" s="5" t="s">
        <v>641</v>
      </c>
      <c r="B85" s="2" t="s">
        <v>251</v>
      </c>
      <c r="C85" s="5" t="s">
        <v>645</v>
      </c>
      <c r="D85" s="11" t="n">
        <v>0.9</v>
      </c>
      <c r="E85" s="11" t="n">
        <v>-0.00214068015369473</v>
      </c>
      <c r="F85" s="11" t="n">
        <v>-0.00214068015369473</v>
      </c>
      <c r="G85" s="11" t="n">
        <v>0.0632691495699669</v>
      </c>
      <c r="H85" s="11" t="n">
        <v>0</v>
      </c>
      <c r="I85" s="11" t="n">
        <v>0</v>
      </c>
      <c r="J85" s="15" t="n">
        <v>1.00458249363665</v>
      </c>
      <c r="K85" s="2" t="s">
        <v>692</v>
      </c>
    </row>
    <row r="86" customFormat="false" ht="68.65" hidden="false" customHeight="false" outlineLevel="0" collapsed="false">
      <c r="A86" s="5" t="s">
        <v>641</v>
      </c>
      <c r="B86" s="2" t="s">
        <v>251</v>
      </c>
      <c r="C86" s="5" t="s">
        <v>645</v>
      </c>
      <c r="D86" s="11" t="n">
        <v>0.75</v>
      </c>
      <c r="E86" s="11" t="n">
        <v>-0.00532879885794402</v>
      </c>
      <c r="F86" s="11" t="n">
        <v>-0.00532879885794402</v>
      </c>
      <c r="G86" s="11" t="n">
        <v>0.163017645888639</v>
      </c>
      <c r="H86" s="11" t="n">
        <v>0</v>
      </c>
      <c r="I86" s="11" t="n">
        <v>0</v>
      </c>
      <c r="J86" s="15" t="n">
        <v>1.01146621191095</v>
      </c>
      <c r="K86" s="2" t="s">
        <v>704</v>
      </c>
    </row>
    <row r="87" customFormat="false" ht="68.65" hidden="false" customHeight="false" outlineLevel="0" collapsed="false">
      <c r="A87" s="5" t="s">
        <v>641</v>
      </c>
      <c r="B87" s="2" t="s">
        <v>251</v>
      </c>
      <c r="C87" s="5" t="s">
        <v>645</v>
      </c>
      <c r="D87" s="11" t="n">
        <v>0.5</v>
      </c>
      <c r="E87" s="11" t="n">
        <v>-0.0105821777889756</v>
      </c>
      <c r="F87" s="11" t="n">
        <v>-0.0105821777889756</v>
      </c>
      <c r="G87" s="11" t="n">
        <v>0.347227678266432</v>
      </c>
      <c r="H87" s="11" t="n">
        <v>0</v>
      </c>
      <c r="I87" s="11" t="n">
        <v>0</v>
      </c>
      <c r="J87" s="15" t="n">
        <v>1.02296554876555</v>
      </c>
      <c r="K87" s="2" t="s">
        <v>694</v>
      </c>
    </row>
    <row r="88" customFormat="false" ht="68.65" hidden="false" customHeight="false" outlineLevel="0" collapsed="false">
      <c r="A88" s="5" t="s">
        <v>641</v>
      </c>
      <c r="B88" s="2" t="s">
        <v>251</v>
      </c>
      <c r="C88" s="5" t="s">
        <v>645</v>
      </c>
      <c r="D88" s="11" t="n">
        <v>0.25</v>
      </c>
      <c r="E88" s="11" t="n">
        <v>-0.0157618286168169</v>
      </c>
      <c r="F88" s="11" t="n">
        <v>-0.0157618286168169</v>
      </c>
      <c r="G88" s="11" t="n">
        <v>0.571585452742411</v>
      </c>
      <c r="H88" s="11" t="n">
        <v>0</v>
      </c>
      <c r="I88" s="11" t="n">
        <v>-1.11022302462516E-016</v>
      </c>
      <c r="J88" s="15" t="n">
        <v>1.03449776939955</v>
      </c>
      <c r="K88" s="2" t="s">
        <v>699</v>
      </c>
    </row>
    <row r="89" customFormat="false" ht="68.65" hidden="false" customHeight="false" outlineLevel="0" collapsed="false">
      <c r="A89" s="5" t="s">
        <v>641</v>
      </c>
      <c r="B89" s="2" t="s">
        <v>251</v>
      </c>
      <c r="C89" s="5" t="s">
        <v>645</v>
      </c>
      <c r="D89" s="11" t="n">
        <v>0.1</v>
      </c>
      <c r="E89" s="11" t="n">
        <v>-0.0188349143204549</v>
      </c>
      <c r="F89" s="11" t="n">
        <v>-0.0188349143204549</v>
      </c>
      <c r="G89" s="11" t="n">
        <v>0.753542473421062</v>
      </c>
      <c r="H89" s="11" t="n">
        <v>0</v>
      </c>
      <c r="I89" s="11" t="n">
        <v>0</v>
      </c>
      <c r="J89" s="15" t="n">
        <v>1.04143278744946</v>
      </c>
      <c r="K89" s="2" t="s">
        <v>705</v>
      </c>
    </row>
    <row r="90" customFormat="false" ht="68.65" hidden="false" customHeight="false" outlineLevel="0" collapsed="false">
      <c r="A90" s="5" t="s">
        <v>641</v>
      </c>
      <c r="B90" s="2" t="s">
        <v>251</v>
      </c>
      <c r="C90" s="5" t="s">
        <v>645</v>
      </c>
      <c r="D90" s="11" t="n">
        <v>0.05</v>
      </c>
      <c r="E90" s="11" t="n">
        <v>-0.019853569406006</v>
      </c>
      <c r="F90" s="11" t="n">
        <v>-0.019853569406006</v>
      </c>
      <c r="G90" s="11" t="n">
        <v>0.837567486276814</v>
      </c>
      <c r="H90" s="11" t="n">
        <v>0</v>
      </c>
      <c r="I90" s="11" t="n">
        <v>0</v>
      </c>
      <c r="J90" s="15" t="n">
        <v>1.04374706314797</v>
      </c>
      <c r="K90" s="2" t="s">
        <v>706</v>
      </c>
    </row>
    <row r="91" customFormat="false" ht="35.05" hidden="false" customHeight="false" outlineLevel="0" collapsed="false">
      <c r="A91" s="5" t="s">
        <v>641</v>
      </c>
      <c r="B91" s="2" t="s">
        <v>707</v>
      </c>
      <c r="C91" s="5" t="s">
        <v>642</v>
      </c>
      <c r="D91" s="11" t="n">
        <v>0.9</v>
      </c>
      <c r="E91" s="11" t="n">
        <v>-0.0904674239170378</v>
      </c>
      <c r="F91" s="11" t="n">
        <v>-0.0904674239170378</v>
      </c>
      <c r="I91" s="11" t="n">
        <v>-0.1</v>
      </c>
      <c r="L91" s="2" t="s">
        <v>708</v>
      </c>
    </row>
    <row r="92" customFormat="false" ht="35.05" hidden="false" customHeight="false" outlineLevel="0" collapsed="false">
      <c r="A92" s="5" t="s">
        <v>641</v>
      </c>
      <c r="B92" s="2" t="s">
        <v>707</v>
      </c>
      <c r="C92" s="5" t="s">
        <v>642</v>
      </c>
      <c r="D92" s="11" t="n">
        <v>0.75</v>
      </c>
      <c r="E92" s="11" t="n">
        <v>-0.22811049327643</v>
      </c>
      <c r="F92" s="11" t="n">
        <v>-0.22811049327643</v>
      </c>
      <c r="I92" s="11" t="n">
        <v>-0.25</v>
      </c>
      <c r="L92" s="2" t="s">
        <v>708</v>
      </c>
    </row>
    <row r="93" customFormat="false" ht="35.05" hidden="false" customHeight="false" outlineLevel="0" collapsed="false">
      <c r="A93" s="5" t="s">
        <v>641</v>
      </c>
      <c r="B93" s="2" t="s">
        <v>707</v>
      </c>
      <c r="C93" s="5" t="s">
        <v>642</v>
      </c>
      <c r="D93" s="11" t="n">
        <v>0.5</v>
      </c>
      <c r="E93" s="11" t="n">
        <v>-0.464113268731853</v>
      </c>
      <c r="F93" s="11" t="n">
        <v>-0.464113268731853</v>
      </c>
      <c r="I93" s="11" t="n">
        <v>-0.5</v>
      </c>
      <c r="L93" s="2" t="s">
        <v>708</v>
      </c>
    </row>
    <row r="94" customFormat="false" ht="35.05" hidden="false" customHeight="false" outlineLevel="0" collapsed="false">
      <c r="A94" s="5" t="s">
        <v>641</v>
      </c>
      <c r="B94" s="2" t="s">
        <v>707</v>
      </c>
      <c r="C94" s="5" t="s">
        <v>642</v>
      </c>
      <c r="D94" s="11" t="n">
        <v>0.25</v>
      </c>
      <c r="E94" s="11" t="n">
        <v>-0.712825411250741</v>
      </c>
      <c r="F94" s="11" t="n">
        <v>-0.712825411250741</v>
      </c>
      <c r="I94" s="11" t="n">
        <v>-0.75</v>
      </c>
      <c r="L94" s="2" t="s">
        <v>708</v>
      </c>
    </row>
    <row r="95" customFormat="false" ht="35.05" hidden="false" customHeight="false" outlineLevel="0" collapsed="false">
      <c r="A95" s="5" t="s">
        <v>641</v>
      </c>
      <c r="B95" s="2" t="s">
        <v>707</v>
      </c>
      <c r="C95" s="5" t="s">
        <v>642</v>
      </c>
      <c r="D95" s="11" t="n">
        <v>0.1</v>
      </c>
      <c r="E95" s="11" t="n">
        <v>-0.874107458820583</v>
      </c>
      <c r="F95" s="11" t="n">
        <v>-0.874107458820583</v>
      </c>
      <c r="I95" s="11" t="n">
        <v>-0.9</v>
      </c>
      <c r="L95" s="2" t="s">
        <v>708</v>
      </c>
    </row>
    <row r="96" customFormat="false" ht="35.05" hidden="false" customHeight="false" outlineLevel="0" collapsed="false">
      <c r="A96" s="5" t="s">
        <v>641</v>
      </c>
      <c r="B96" s="2" t="s">
        <v>707</v>
      </c>
      <c r="C96" s="5" t="s">
        <v>645</v>
      </c>
      <c r="D96" s="11" t="n">
        <v>0.9</v>
      </c>
      <c r="E96" s="11" t="n">
        <v>-1</v>
      </c>
      <c r="F96" s="11" t="n">
        <v>-1</v>
      </c>
      <c r="I96" s="11" t="n">
        <v>-0.1</v>
      </c>
      <c r="L96" s="2" t="s">
        <v>708</v>
      </c>
    </row>
    <row r="97" customFormat="false" ht="35.05" hidden="false" customHeight="false" outlineLevel="0" collapsed="false">
      <c r="A97" s="5" t="s">
        <v>641</v>
      </c>
      <c r="B97" s="2" t="s">
        <v>707</v>
      </c>
      <c r="C97" s="5" t="s">
        <v>645</v>
      </c>
      <c r="D97" s="11" t="n">
        <v>0.75</v>
      </c>
      <c r="E97" s="11" t="n">
        <v>-1</v>
      </c>
      <c r="F97" s="11" t="n">
        <v>-1</v>
      </c>
      <c r="I97" s="11" t="n">
        <v>-0.25</v>
      </c>
      <c r="L97" s="2" t="s">
        <v>708</v>
      </c>
    </row>
    <row r="98" customFormat="false" ht="35.05" hidden="false" customHeight="false" outlineLevel="0" collapsed="false">
      <c r="A98" s="5" t="s">
        <v>641</v>
      </c>
      <c r="B98" s="2" t="s">
        <v>707</v>
      </c>
      <c r="C98" s="5" t="s">
        <v>645</v>
      </c>
      <c r="D98" s="11" t="n">
        <v>0.5</v>
      </c>
      <c r="E98" s="11" t="n">
        <v>-1</v>
      </c>
      <c r="F98" s="11" t="n">
        <v>-1</v>
      </c>
      <c r="I98" s="11" t="n">
        <v>-0.5</v>
      </c>
      <c r="L98" s="2" t="s">
        <v>708</v>
      </c>
    </row>
    <row r="99" customFormat="false" ht="35.05" hidden="false" customHeight="false" outlineLevel="0" collapsed="false">
      <c r="A99" s="5" t="s">
        <v>641</v>
      </c>
      <c r="B99" s="2" t="s">
        <v>707</v>
      </c>
      <c r="C99" s="5" t="s">
        <v>645</v>
      </c>
      <c r="D99" s="11" t="n">
        <v>0.25</v>
      </c>
      <c r="E99" s="11" t="n">
        <v>-1</v>
      </c>
      <c r="F99" s="11" t="n">
        <v>-1</v>
      </c>
      <c r="I99" s="11" t="n">
        <v>-0.75</v>
      </c>
      <c r="L99" s="2" t="s">
        <v>708</v>
      </c>
    </row>
    <row r="100" customFormat="false" ht="35.05" hidden="false" customHeight="false" outlineLevel="0" collapsed="false">
      <c r="A100" s="5" t="s">
        <v>641</v>
      </c>
      <c r="B100" s="2" t="s">
        <v>707</v>
      </c>
      <c r="C100" s="5" t="s">
        <v>645</v>
      </c>
      <c r="D100" s="11" t="n">
        <v>0.1</v>
      </c>
      <c r="E100" s="11" t="n">
        <v>-1</v>
      </c>
      <c r="F100" s="11" t="n">
        <v>-1</v>
      </c>
      <c r="I100" s="11" t="n">
        <v>-0.9</v>
      </c>
      <c r="L100" s="2" t="s">
        <v>708</v>
      </c>
    </row>
    <row r="101" customFormat="false" ht="68.65" hidden="false" customHeight="false" outlineLevel="0" collapsed="false">
      <c r="A101" s="5" t="s">
        <v>709</v>
      </c>
      <c r="B101" s="2" t="s">
        <v>217</v>
      </c>
      <c r="C101" s="5" t="s">
        <v>642</v>
      </c>
      <c r="D101" s="11" t="n">
        <v>0.9</v>
      </c>
      <c r="E101" s="11" t="n">
        <v>-0.0765042227336785</v>
      </c>
      <c r="F101" s="11" t="n">
        <v>-0.0954465373955724</v>
      </c>
      <c r="G101" s="11" t="n">
        <v>0.132776087933655</v>
      </c>
      <c r="H101" s="11" t="n">
        <v>0</v>
      </c>
      <c r="I101" s="11" t="n">
        <v>-0.0846349027222596</v>
      </c>
      <c r="J101" s="15" t="n">
        <v>1.15920102880672</v>
      </c>
      <c r="K101" s="2" t="s">
        <v>710</v>
      </c>
    </row>
    <row r="102" customFormat="false" ht="68.65" hidden="false" customHeight="false" outlineLevel="0" collapsed="false">
      <c r="A102" s="5" t="s">
        <v>709</v>
      </c>
      <c r="B102" s="2" t="s">
        <v>217</v>
      </c>
      <c r="C102" s="5" t="s">
        <v>642</v>
      </c>
      <c r="D102" s="11" t="n">
        <v>0.75</v>
      </c>
      <c r="E102" s="11" t="n">
        <v>-0.107208023205444</v>
      </c>
      <c r="F102" s="11" t="n">
        <v>-0.999999994736842</v>
      </c>
      <c r="G102" s="11" t="n">
        <v>0.999999995308941</v>
      </c>
      <c r="H102" s="11" t="n">
        <v>0</v>
      </c>
      <c r="I102" s="11" t="n">
        <v>-0.118386792980184</v>
      </c>
      <c r="J102" s="15" t="n">
        <v>1.20804432284275</v>
      </c>
      <c r="K102" s="2" t="s">
        <v>711</v>
      </c>
    </row>
    <row r="103" customFormat="false" ht="68.65" hidden="false" customHeight="false" outlineLevel="0" collapsed="false">
      <c r="A103" s="5" t="s">
        <v>709</v>
      </c>
      <c r="B103" s="2" t="s">
        <v>217</v>
      </c>
      <c r="C103" s="5" t="s">
        <v>642</v>
      </c>
      <c r="D103" s="11" t="n">
        <v>0.5</v>
      </c>
      <c r="E103" s="11" t="n">
        <v>-0.107208023205444</v>
      </c>
      <c r="F103" s="11" t="n">
        <v>-0.999999994736842</v>
      </c>
      <c r="G103" s="11" t="n">
        <v>0.999999996011272</v>
      </c>
      <c r="H103" s="11" t="n">
        <v>0</v>
      </c>
      <c r="I103" s="11" t="n">
        <v>-0.118386792980184</v>
      </c>
      <c r="J103" s="15" t="n">
        <v>1.20804432284275</v>
      </c>
      <c r="K103" s="2" t="s">
        <v>711</v>
      </c>
    </row>
    <row r="104" customFormat="false" ht="68.65" hidden="false" customHeight="false" outlineLevel="0" collapsed="false">
      <c r="A104" s="5" t="s">
        <v>709</v>
      </c>
      <c r="B104" s="2" t="s">
        <v>217</v>
      </c>
      <c r="C104" s="5" t="s">
        <v>642</v>
      </c>
      <c r="D104" s="11" t="n">
        <v>0.25</v>
      </c>
      <c r="E104" s="11" t="n">
        <v>-0.107208023205444</v>
      </c>
      <c r="F104" s="11" t="n">
        <v>-0.999999994736842</v>
      </c>
      <c r="G104" s="11" t="n">
        <v>0.99999999697711</v>
      </c>
      <c r="H104" s="11" t="n">
        <v>0</v>
      </c>
      <c r="I104" s="11" t="n">
        <v>-0.118386792980184</v>
      </c>
      <c r="J104" s="15" t="n">
        <v>1.20804432284275</v>
      </c>
      <c r="K104" s="2" t="s">
        <v>711</v>
      </c>
    </row>
    <row r="105" customFormat="false" ht="68.65" hidden="false" customHeight="false" outlineLevel="0" collapsed="false">
      <c r="A105" s="5" t="s">
        <v>709</v>
      </c>
      <c r="B105" s="2" t="s">
        <v>217</v>
      </c>
      <c r="C105" s="5" t="s">
        <v>642</v>
      </c>
      <c r="D105" s="11" t="n">
        <v>0.1</v>
      </c>
      <c r="E105" s="11" t="n">
        <v>-0.107208023205444</v>
      </c>
      <c r="F105" s="11" t="n">
        <v>-0.999999994736842</v>
      </c>
      <c r="G105" s="11" t="n">
        <v>0.999999997904699</v>
      </c>
      <c r="H105" s="11" t="n">
        <v>0</v>
      </c>
      <c r="I105" s="11" t="n">
        <v>-0.118386792980184</v>
      </c>
      <c r="J105" s="15" t="n">
        <v>1.20804432284275</v>
      </c>
      <c r="K105" s="2" t="s">
        <v>711</v>
      </c>
    </row>
    <row r="106" customFormat="false" ht="68.65" hidden="false" customHeight="false" outlineLevel="0" collapsed="false">
      <c r="A106" s="5" t="s">
        <v>709</v>
      </c>
      <c r="B106" s="2" t="s">
        <v>217</v>
      </c>
      <c r="C106" s="5" t="s">
        <v>645</v>
      </c>
      <c r="D106" s="11" t="n">
        <v>0.9</v>
      </c>
      <c r="E106" s="11" t="n">
        <v>-0.177266966788301</v>
      </c>
      <c r="F106" s="11" t="n">
        <v>-0.999999994736842</v>
      </c>
      <c r="G106" s="11" t="n">
        <v>0.999999994954045</v>
      </c>
      <c r="H106" s="11" t="n">
        <v>0</v>
      </c>
      <c r="I106" s="11" t="n">
        <v>0</v>
      </c>
      <c r="J106" s="15" t="n">
        <v>1.38431558589915</v>
      </c>
      <c r="K106" s="2" t="s">
        <v>712</v>
      </c>
    </row>
    <row r="107" customFormat="false" ht="68.65" hidden="false" customHeight="false" outlineLevel="0" collapsed="false">
      <c r="A107" s="5" t="s">
        <v>709</v>
      </c>
      <c r="B107" s="2" t="s">
        <v>217</v>
      </c>
      <c r="C107" s="5" t="s">
        <v>645</v>
      </c>
      <c r="D107" s="11" t="n">
        <v>0.75</v>
      </c>
      <c r="E107" s="11" t="n">
        <v>-0.177266966788301</v>
      </c>
      <c r="F107" s="11" t="n">
        <v>-0.999999994736842</v>
      </c>
      <c r="G107" s="11" t="n">
        <v>0.999999995308941</v>
      </c>
      <c r="H107" s="11" t="n">
        <v>0</v>
      </c>
      <c r="I107" s="11" t="n">
        <v>0</v>
      </c>
      <c r="J107" s="15" t="n">
        <v>1.38431558589915</v>
      </c>
      <c r="K107" s="2" t="s">
        <v>712</v>
      </c>
    </row>
    <row r="108" customFormat="false" ht="68.65" hidden="false" customHeight="false" outlineLevel="0" collapsed="false">
      <c r="A108" s="5" t="s">
        <v>709</v>
      </c>
      <c r="B108" s="2" t="s">
        <v>217</v>
      </c>
      <c r="C108" s="5" t="s">
        <v>645</v>
      </c>
      <c r="D108" s="11" t="n">
        <v>0.5</v>
      </c>
      <c r="E108" s="11" t="n">
        <v>-0.177266966788301</v>
      </c>
      <c r="F108" s="11" t="n">
        <v>-0.999999994736842</v>
      </c>
      <c r="G108" s="11" t="n">
        <v>0.999999996011272</v>
      </c>
      <c r="H108" s="11" t="n">
        <v>0</v>
      </c>
      <c r="I108" s="11" t="n">
        <v>0</v>
      </c>
      <c r="J108" s="15" t="n">
        <v>1.38431558589915</v>
      </c>
      <c r="K108" s="2" t="s">
        <v>712</v>
      </c>
    </row>
    <row r="109" customFormat="false" ht="68.65" hidden="false" customHeight="false" outlineLevel="0" collapsed="false">
      <c r="A109" s="5" t="s">
        <v>709</v>
      </c>
      <c r="B109" s="2" t="s">
        <v>217</v>
      </c>
      <c r="C109" s="5" t="s">
        <v>645</v>
      </c>
      <c r="D109" s="11" t="n">
        <v>0.25</v>
      </c>
      <c r="E109" s="11" t="n">
        <v>-0.177266966788301</v>
      </c>
      <c r="F109" s="11" t="n">
        <v>-0.999999994736842</v>
      </c>
      <c r="G109" s="11" t="n">
        <v>0.99999999697711</v>
      </c>
      <c r="H109" s="11" t="n">
        <v>0</v>
      </c>
      <c r="I109" s="11" t="n">
        <v>0</v>
      </c>
      <c r="J109" s="15" t="n">
        <v>1.38431558589915</v>
      </c>
      <c r="K109" s="2" t="s">
        <v>712</v>
      </c>
    </row>
    <row r="110" customFormat="false" ht="68.65" hidden="false" customHeight="false" outlineLevel="0" collapsed="false">
      <c r="A110" s="5" t="s">
        <v>709</v>
      </c>
      <c r="B110" s="2" t="s">
        <v>217</v>
      </c>
      <c r="C110" s="5" t="s">
        <v>645</v>
      </c>
      <c r="D110" s="11" t="n">
        <v>0.1</v>
      </c>
      <c r="E110" s="11" t="n">
        <v>-0.177266966788301</v>
      </c>
      <c r="F110" s="11" t="n">
        <v>-0.999999994736842</v>
      </c>
      <c r="G110" s="11" t="n">
        <v>0.999999997904699</v>
      </c>
      <c r="H110" s="11" t="n">
        <v>0</v>
      </c>
      <c r="I110" s="11" t="n">
        <v>0</v>
      </c>
      <c r="J110" s="15" t="n">
        <v>1.38431558589915</v>
      </c>
      <c r="K110" s="2" t="s">
        <v>712</v>
      </c>
    </row>
    <row r="111" customFormat="false" ht="68.65" hidden="false" customHeight="false" outlineLevel="0" collapsed="false">
      <c r="A111" s="5" t="s">
        <v>709</v>
      </c>
      <c r="B111" s="2" t="s">
        <v>221</v>
      </c>
      <c r="C111" s="5" t="s">
        <v>642</v>
      </c>
      <c r="D111" s="11" t="n">
        <v>0.9</v>
      </c>
      <c r="E111" s="11" t="n">
        <v>-0.0465780389421822</v>
      </c>
      <c r="F111" s="11" t="n">
        <v>-0.9999999875</v>
      </c>
      <c r="G111" s="11" t="n">
        <v>0.999999988630843</v>
      </c>
      <c r="H111" s="11" t="n">
        <v>0</v>
      </c>
      <c r="I111" s="11" t="n">
        <v>-0.0516175659978719</v>
      </c>
      <c r="J111" s="15" t="n">
        <v>1.08274141264511</v>
      </c>
      <c r="K111" s="2" t="s">
        <v>713</v>
      </c>
    </row>
    <row r="112" customFormat="false" ht="68.65" hidden="false" customHeight="false" outlineLevel="0" collapsed="false">
      <c r="A112" s="5" t="s">
        <v>709</v>
      </c>
      <c r="B112" s="2" t="s">
        <v>221</v>
      </c>
      <c r="C112" s="5" t="s">
        <v>642</v>
      </c>
      <c r="D112" s="11" t="n">
        <v>0.75</v>
      </c>
      <c r="E112" s="11" t="n">
        <v>-0.0465780389421822</v>
      </c>
      <c r="F112" s="11" t="n">
        <v>-0.9999999875</v>
      </c>
      <c r="G112" s="11" t="n">
        <v>0.999999990351381</v>
      </c>
      <c r="H112" s="11" t="n">
        <v>0</v>
      </c>
      <c r="I112" s="11" t="n">
        <v>-0.0516175659978719</v>
      </c>
      <c r="J112" s="15" t="n">
        <v>1.08274141264511</v>
      </c>
      <c r="K112" s="2" t="s">
        <v>713</v>
      </c>
    </row>
    <row r="113" customFormat="false" ht="68.65" hidden="false" customHeight="false" outlineLevel="0" collapsed="false">
      <c r="A113" s="5" t="s">
        <v>709</v>
      </c>
      <c r="B113" s="2" t="s">
        <v>221</v>
      </c>
      <c r="C113" s="5" t="s">
        <v>642</v>
      </c>
      <c r="D113" s="11" t="n">
        <v>0.5</v>
      </c>
      <c r="E113" s="11" t="n">
        <v>-0.0465780389421822</v>
      </c>
      <c r="F113" s="11" t="n">
        <v>-0.9999999875</v>
      </c>
      <c r="G113" s="11" t="n">
        <v>0.999999993301416</v>
      </c>
      <c r="H113" s="11" t="n">
        <v>0</v>
      </c>
      <c r="I113" s="11" t="n">
        <v>-0.0516175659978719</v>
      </c>
      <c r="J113" s="15" t="n">
        <v>1.08274141264511</v>
      </c>
      <c r="K113" s="2" t="s">
        <v>713</v>
      </c>
    </row>
    <row r="114" customFormat="false" ht="68.65" hidden="false" customHeight="false" outlineLevel="0" collapsed="false">
      <c r="A114" s="5" t="s">
        <v>709</v>
      </c>
      <c r="B114" s="2" t="s">
        <v>221</v>
      </c>
      <c r="C114" s="5" t="s">
        <v>642</v>
      </c>
      <c r="D114" s="11" t="n">
        <v>0.25</v>
      </c>
      <c r="E114" s="11" t="n">
        <v>-0.0465780389421822</v>
      </c>
      <c r="F114" s="11" t="n">
        <v>-0.9999999875</v>
      </c>
      <c r="G114" s="11" t="n">
        <v>0.999999996410318</v>
      </c>
      <c r="H114" s="11" t="n">
        <v>0</v>
      </c>
      <c r="I114" s="11" t="n">
        <v>-0.0516175659978719</v>
      </c>
      <c r="J114" s="15" t="n">
        <v>1.08274141264511</v>
      </c>
      <c r="K114" s="2" t="s">
        <v>713</v>
      </c>
    </row>
    <row r="115" customFormat="false" ht="68.65" hidden="false" customHeight="false" outlineLevel="0" collapsed="false">
      <c r="A115" s="5" t="s">
        <v>709</v>
      </c>
      <c r="B115" s="2" t="s">
        <v>221</v>
      </c>
      <c r="C115" s="5" t="s">
        <v>642</v>
      </c>
      <c r="D115" s="11" t="n">
        <v>0.1</v>
      </c>
      <c r="E115" s="11" t="n">
        <v>-0.0465780389421822</v>
      </c>
      <c r="F115" s="11" t="n">
        <v>-0.9999999875</v>
      </c>
      <c r="G115" s="11" t="n">
        <v>0.999999998426343</v>
      </c>
      <c r="H115" s="11" t="n">
        <v>0</v>
      </c>
      <c r="I115" s="11" t="n">
        <v>-0.0516175659978719</v>
      </c>
      <c r="J115" s="15" t="n">
        <v>1.08274141264511</v>
      </c>
      <c r="K115" s="2" t="s">
        <v>713</v>
      </c>
    </row>
    <row r="116" customFormat="false" ht="68.65" hidden="false" customHeight="false" outlineLevel="0" collapsed="false">
      <c r="A116" s="5" t="s">
        <v>709</v>
      </c>
      <c r="B116" s="2" t="s">
        <v>221</v>
      </c>
      <c r="C116" s="5" t="s">
        <v>645</v>
      </c>
      <c r="D116" s="11" t="n">
        <v>0.9</v>
      </c>
      <c r="E116" s="11" t="n">
        <v>-0.0753431620149438</v>
      </c>
      <c r="F116" s="11" t="n">
        <v>-0.9999999875</v>
      </c>
      <c r="G116" s="11" t="n">
        <v>0.999999988630843</v>
      </c>
      <c r="H116" s="11" t="n">
        <v>0</v>
      </c>
      <c r="I116" s="11" t="n">
        <v>0</v>
      </c>
      <c r="J116" s="15" t="n">
        <v>1.13945984176868</v>
      </c>
      <c r="K116" s="2" t="s">
        <v>714</v>
      </c>
    </row>
    <row r="117" customFormat="false" ht="68.65" hidden="false" customHeight="false" outlineLevel="0" collapsed="false">
      <c r="A117" s="5" t="s">
        <v>709</v>
      </c>
      <c r="B117" s="2" t="s">
        <v>221</v>
      </c>
      <c r="C117" s="5" t="s">
        <v>645</v>
      </c>
      <c r="D117" s="11" t="n">
        <v>0.75</v>
      </c>
      <c r="E117" s="11" t="n">
        <v>-0.0753431620149438</v>
      </c>
      <c r="F117" s="11" t="n">
        <v>-0.9999999875</v>
      </c>
      <c r="G117" s="11" t="n">
        <v>0.999999990351381</v>
      </c>
      <c r="H117" s="11" t="n">
        <v>0</v>
      </c>
      <c r="I117" s="11" t="n">
        <v>0</v>
      </c>
      <c r="J117" s="15" t="n">
        <v>1.13945984176868</v>
      </c>
      <c r="K117" s="2" t="s">
        <v>714</v>
      </c>
    </row>
    <row r="118" customFormat="false" ht="68.65" hidden="false" customHeight="false" outlineLevel="0" collapsed="false">
      <c r="A118" s="5" t="s">
        <v>709</v>
      </c>
      <c r="B118" s="2" t="s">
        <v>221</v>
      </c>
      <c r="C118" s="5" t="s">
        <v>645</v>
      </c>
      <c r="D118" s="11" t="n">
        <v>0.5</v>
      </c>
      <c r="E118" s="11" t="n">
        <v>-0.0753431620149438</v>
      </c>
      <c r="F118" s="11" t="n">
        <v>-0.9999999875</v>
      </c>
      <c r="G118" s="11" t="n">
        <v>0.999999993301416</v>
      </c>
      <c r="H118" s="11" t="n">
        <v>0</v>
      </c>
      <c r="I118" s="11" t="n">
        <v>0</v>
      </c>
      <c r="J118" s="15" t="n">
        <v>1.13945984176868</v>
      </c>
      <c r="K118" s="2" t="s">
        <v>714</v>
      </c>
    </row>
    <row r="119" customFormat="false" ht="68.65" hidden="false" customHeight="false" outlineLevel="0" collapsed="false">
      <c r="A119" s="5" t="s">
        <v>709</v>
      </c>
      <c r="B119" s="2" t="s">
        <v>221</v>
      </c>
      <c r="C119" s="5" t="s">
        <v>645</v>
      </c>
      <c r="D119" s="11" t="n">
        <v>0.25</v>
      </c>
      <c r="E119" s="11" t="n">
        <v>-0.0753431620149438</v>
      </c>
      <c r="F119" s="11" t="n">
        <v>-0.9999999875</v>
      </c>
      <c r="G119" s="11" t="n">
        <v>0.999999996410318</v>
      </c>
      <c r="H119" s="11" t="n">
        <v>0</v>
      </c>
      <c r="I119" s="11" t="n">
        <v>0</v>
      </c>
      <c r="J119" s="15" t="n">
        <v>1.13945984176868</v>
      </c>
      <c r="K119" s="2" t="s">
        <v>714</v>
      </c>
    </row>
    <row r="120" customFormat="false" ht="68.65" hidden="false" customHeight="false" outlineLevel="0" collapsed="false">
      <c r="A120" s="5" t="s">
        <v>709</v>
      </c>
      <c r="B120" s="2" t="s">
        <v>221</v>
      </c>
      <c r="C120" s="5" t="s">
        <v>645</v>
      </c>
      <c r="D120" s="11" t="n">
        <v>0.1</v>
      </c>
      <c r="E120" s="11" t="n">
        <v>-0.0753431620149438</v>
      </c>
      <c r="F120" s="11" t="n">
        <v>-0.9999999875</v>
      </c>
      <c r="G120" s="11" t="n">
        <v>0.999999998426343</v>
      </c>
      <c r="H120" s="11" t="n">
        <v>0</v>
      </c>
      <c r="I120" s="11" t="n">
        <v>0</v>
      </c>
      <c r="J120" s="15" t="n">
        <v>1.13945984176868</v>
      </c>
      <c r="K120" s="2" t="s">
        <v>714</v>
      </c>
    </row>
    <row r="121" customFormat="false" ht="68.65" hidden="false" customHeight="false" outlineLevel="0" collapsed="false">
      <c r="A121" s="5" t="s">
        <v>709</v>
      </c>
      <c r="B121" s="2" t="s">
        <v>225</v>
      </c>
      <c r="C121" s="5" t="s">
        <v>642</v>
      </c>
      <c r="D121" s="11" t="n">
        <v>0.9</v>
      </c>
      <c r="E121" s="11" t="n">
        <v>-0.00556430382360418</v>
      </c>
      <c r="F121" s="11" t="n">
        <v>-0.0705959117105496</v>
      </c>
      <c r="G121" s="11" t="n">
        <v>0.127530840569169</v>
      </c>
      <c r="H121" s="11" t="n">
        <v>0</v>
      </c>
      <c r="I121" s="11" t="n">
        <v>-0.00618064544244601</v>
      </c>
      <c r="J121" s="15" t="n">
        <v>1.0759582538963</v>
      </c>
      <c r="K121" s="2" t="s">
        <v>715</v>
      </c>
    </row>
    <row r="122" customFormat="false" ht="68.65" hidden="false" customHeight="false" outlineLevel="0" collapsed="false">
      <c r="A122" s="5" t="s">
        <v>709</v>
      </c>
      <c r="B122" s="2" t="s">
        <v>225</v>
      </c>
      <c r="C122" s="5" t="s">
        <v>642</v>
      </c>
      <c r="D122" s="11" t="n">
        <v>0.75</v>
      </c>
      <c r="E122" s="11" t="n">
        <v>-0.0127034944587703</v>
      </c>
      <c r="F122" s="11" t="n">
        <v>-0.161682441045818</v>
      </c>
      <c r="G122" s="11" t="n">
        <v>0.294583975910093</v>
      </c>
      <c r="H122" s="11" t="n">
        <v>0</v>
      </c>
      <c r="I122" s="11" t="n">
        <v>-0.0141049944682783</v>
      </c>
      <c r="J122" s="15" t="n">
        <v>1.19286538772672</v>
      </c>
      <c r="K122" s="2" t="s">
        <v>716</v>
      </c>
    </row>
    <row r="123" customFormat="false" ht="68.65" hidden="false" customHeight="false" outlineLevel="0" collapsed="false">
      <c r="A123" s="5" t="s">
        <v>709</v>
      </c>
      <c r="B123" s="2" t="s">
        <v>225</v>
      </c>
      <c r="C123" s="5" t="s">
        <v>642</v>
      </c>
      <c r="D123" s="11" t="n">
        <v>0.5</v>
      </c>
      <c r="E123" s="11" t="n">
        <v>-0.022107508690377</v>
      </c>
      <c r="F123" s="11" t="n">
        <v>-0.282564887912606</v>
      </c>
      <c r="G123" s="11" t="n">
        <v>0.526669347067223</v>
      </c>
      <c r="H123" s="11" t="n">
        <v>0</v>
      </c>
      <c r="I123" s="11" t="n">
        <v>-0.0245335295795821</v>
      </c>
      <c r="J123" s="15" t="n">
        <v>1.39385427776245</v>
      </c>
      <c r="K123" s="2" t="s">
        <v>717</v>
      </c>
    </row>
    <row r="124" customFormat="false" ht="68.65" hidden="false" customHeight="false" outlineLevel="0" collapsed="false">
      <c r="A124" s="5" t="s">
        <v>709</v>
      </c>
      <c r="B124" s="2" t="s">
        <v>225</v>
      </c>
      <c r="C124" s="5" t="s">
        <v>642</v>
      </c>
      <c r="D124" s="11" t="n">
        <v>0.25</v>
      </c>
      <c r="E124" s="11" t="n">
        <v>-0.0292558530918323</v>
      </c>
      <c r="F124" s="11" t="n">
        <v>-0.375158330282091</v>
      </c>
      <c r="G124" s="11" t="n">
        <v>0.728021866228092</v>
      </c>
      <c r="H124" s="11" t="n">
        <v>0</v>
      </c>
      <c r="I124" s="11" t="n">
        <v>-0.032453205377752</v>
      </c>
      <c r="J124" s="15" t="n">
        <v>1.60040542822866</v>
      </c>
      <c r="K124" s="2" t="s">
        <v>718</v>
      </c>
    </row>
    <row r="125" customFormat="false" ht="68.65" hidden="false" customHeight="false" outlineLevel="0" collapsed="false">
      <c r="A125" s="5" t="s">
        <v>709</v>
      </c>
      <c r="B125" s="2" t="s">
        <v>225</v>
      </c>
      <c r="C125" s="5" t="s">
        <v>642</v>
      </c>
      <c r="D125" s="11" t="n">
        <v>0.1</v>
      </c>
      <c r="E125" s="11" t="n">
        <v>-0.0327557266490632</v>
      </c>
      <c r="F125" s="11" t="n">
        <v>-0.420721110911636</v>
      </c>
      <c r="G125" s="11" t="n">
        <v>0.854491721843899</v>
      </c>
      <c r="H125" s="11" t="n">
        <v>0</v>
      </c>
      <c r="I125" s="11" t="n">
        <v>-0.0363283681838428</v>
      </c>
      <c r="J125" s="15" t="n">
        <v>1.72628421100196</v>
      </c>
      <c r="K125" s="2" t="s">
        <v>719</v>
      </c>
    </row>
    <row r="126" customFormat="false" ht="68.65" hidden="false" customHeight="false" outlineLevel="0" collapsed="false">
      <c r="A126" s="5" t="s">
        <v>709</v>
      </c>
      <c r="B126" s="2" t="s">
        <v>225</v>
      </c>
      <c r="C126" s="5" t="s">
        <v>645</v>
      </c>
      <c r="D126" s="11" t="n">
        <v>0.9</v>
      </c>
      <c r="E126" s="11" t="n">
        <v>-0.00994480349627369</v>
      </c>
      <c r="F126" s="11" t="n">
        <v>-0.0805969245976849</v>
      </c>
      <c r="G126" s="11" t="n">
        <v>0.136919195340833</v>
      </c>
      <c r="H126" s="11" t="n">
        <v>0</v>
      </c>
      <c r="I126" s="11" t="n">
        <v>0</v>
      </c>
      <c r="J126" s="15" t="n">
        <v>1.08766223080385</v>
      </c>
      <c r="K126" s="2" t="s">
        <v>720</v>
      </c>
    </row>
    <row r="127" customFormat="false" ht="68.65" hidden="false" customHeight="false" outlineLevel="0" collapsed="false">
      <c r="A127" s="5" t="s">
        <v>709</v>
      </c>
      <c r="B127" s="2" t="s">
        <v>225</v>
      </c>
      <c r="C127" s="5" t="s">
        <v>645</v>
      </c>
      <c r="D127" s="11" t="n">
        <v>0.75</v>
      </c>
      <c r="E127" s="11" t="n">
        <v>-0.0222012785927839</v>
      </c>
      <c r="F127" s="11" t="n">
        <v>-0.180079552544285</v>
      </c>
      <c r="G127" s="11" t="n">
        <v>0.310064526340382</v>
      </c>
      <c r="H127" s="11" t="n">
        <v>0</v>
      </c>
      <c r="I127" s="11" t="n">
        <v>0</v>
      </c>
      <c r="J127" s="15" t="n">
        <v>1.21963051793999</v>
      </c>
      <c r="K127" s="2" t="s">
        <v>721</v>
      </c>
    </row>
    <row r="128" customFormat="false" ht="68.65" hidden="false" customHeight="false" outlineLevel="0" collapsed="false">
      <c r="A128" s="5" t="s">
        <v>709</v>
      </c>
      <c r="B128" s="2" t="s">
        <v>225</v>
      </c>
      <c r="C128" s="5" t="s">
        <v>645</v>
      </c>
      <c r="D128" s="11" t="n">
        <v>0.5</v>
      </c>
      <c r="E128" s="11" t="n">
        <v>-0.0376596765287396</v>
      </c>
      <c r="F128" s="11" t="n">
        <v>-0.305800678049868</v>
      </c>
      <c r="G128" s="11" t="n">
        <v>0.541999251516811</v>
      </c>
      <c r="H128" s="11" t="n">
        <v>0</v>
      </c>
      <c r="I128" s="11" t="n">
        <v>2.22044604925031E-016</v>
      </c>
      <c r="J128" s="15" t="n">
        <v>1.44050846548052</v>
      </c>
      <c r="K128" s="2" t="s">
        <v>722</v>
      </c>
    </row>
    <row r="129" customFormat="false" ht="68.65" hidden="false" customHeight="false" outlineLevel="0" collapsed="false">
      <c r="A129" s="5" t="s">
        <v>709</v>
      </c>
      <c r="B129" s="2" t="s">
        <v>225</v>
      </c>
      <c r="C129" s="5" t="s">
        <v>645</v>
      </c>
      <c r="D129" s="11" t="n">
        <v>0.25</v>
      </c>
      <c r="E129" s="11" t="n">
        <v>-0.0490207582185693</v>
      </c>
      <c r="F129" s="11" t="n">
        <v>-0.398385345987912</v>
      </c>
      <c r="G129" s="11" t="n">
        <v>0.738132012031287</v>
      </c>
      <c r="H129" s="11" t="n">
        <v>0</v>
      </c>
      <c r="I129" s="11" t="n">
        <v>0</v>
      </c>
      <c r="J129" s="15" t="n">
        <v>1.66219355418146</v>
      </c>
      <c r="K129" s="2" t="s">
        <v>723</v>
      </c>
    </row>
    <row r="130" customFormat="false" ht="68.65" hidden="false" customHeight="false" outlineLevel="0" collapsed="false">
      <c r="A130" s="5" t="s">
        <v>709</v>
      </c>
      <c r="B130" s="2" t="s">
        <v>225</v>
      </c>
      <c r="C130" s="5" t="s">
        <v>645</v>
      </c>
      <c r="D130" s="11" t="n">
        <v>0.1</v>
      </c>
      <c r="E130" s="11" t="n">
        <v>-0.0544938647333968</v>
      </c>
      <c r="F130" s="11" t="n">
        <v>-0.443046048573624</v>
      </c>
      <c r="G130" s="11" t="n">
        <v>0.860099492643644</v>
      </c>
      <c r="H130" s="11" t="n">
        <v>0</v>
      </c>
      <c r="I130" s="11" t="n">
        <v>0</v>
      </c>
      <c r="J130" s="15" t="n">
        <v>1.79548057328433</v>
      </c>
      <c r="K130" s="2" t="s">
        <v>724</v>
      </c>
    </row>
    <row r="131" customFormat="false" ht="68.65" hidden="false" customHeight="false" outlineLevel="0" collapsed="false">
      <c r="A131" s="5" t="s">
        <v>709</v>
      </c>
      <c r="B131" s="2" t="s">
        <v>229</v>
      </c>
      <c r="C131" s="5" t="s">
        <v>642</v>
      </c>
      <c r="D131" s="11" t="n">
        <v>0.9</v>
      </c>
      <c r="E131" s="11" t="n">
        <v>-0.00436194864206962</v>
      </c>
      <c r="F131" s="11" t="n">
        <v>-0.0553121389090895</v>
      </c>
      <c r="G131" s="11" t="n">
        <v>0.149780925018181</v>
      </c>
      <c r="H131" s="11" t="n">
        <v>0</v>
      </c>
      <c r="I131" s="11" t="n">
        <v>-0.00484543359999912</v>
      </c>
      <c r="J131" s="15" t="n">
        <v>1.09947689822241</v>
      </c>
      <c r="K131" s="2" t="s">
        <v>725</v>
      </c>
    </row>
    <row r="132" customFormat="false" ht="68.65" hidden="false" customHeight="false" outlineLevel="0" collapsed="false">
      <c r="A132" s="5" t="s">
        <v>709</v>
      </c>
      <c r="B132" s="2" t="s">
        <v>229</v>
      </c>
      <c r="C132" s="5" t="s">
        <v>642</v>
      </c>
      <c r="D132" s="11" t="n">
        <v>0.75</v>
      </c>
      <c r="E132" s="11" t="n">
        <v>-0.00990535000383219</v>
      </c>
      <c r="F132" s="11" t="n">
        <v>-0.125912724935367</v>
      </c>
      <c r="G132" s="11" t="n">
        <v>0.344434543701525</v>
      </c>
      <c r="H132" s="11" t="n">
        <v>0</v>
      </c>
      <c r="I132" s="11" t="n">
        <v>-0.0109998700489644</v>
      </c>
      <c r="J132" s="15" t="n">
        <v>1.25143607527299</v>
      </c>
      <c r="K132" s="2" t="s">
        <v>726</v>
      </c>
    </row>
    <row r="133" customFormat="false" ht="68.65" hidden="false" customHeight="false" outlineLevel="0" collapsed="false">
      <c r="A133" s="5" t="s">
        <v>709</v>
      </c>
      <c r="B133" s="2" t="s">
        <v>229</v>
      </c>
      <c r="C133" s="5" t="s">
        <v>642</v>
      </c>
      <c r="D133" s="11" t="n">
        <v>0.6</v>
      </c>
      <c r="E133" s="11" t="n">
        <v>-0.0145151753371895</v>
      </c>
      <c r="F133" s="11" t="n">
        <v>-0.184889919972573</v>
      </c>
      <c r="G133" s="11" t="n">
        <v>0.510933951983544</v>
      </c>
      <c r="H133" s="11" t="n">
        <v>0</v>
      </c>
      <c r="I133" s="11" t="n">
        <v>-0.0161149107009498</v>
      </c>
      <c r="J133" s="15" t="n">
        <v>1.40595976861361</v>
      </c>
      <c r="K133" s="2" t="s">
        <v>727</v>
      </c>
    </row>
    <row r="134" customFormat="false" ht="68.65" hidden="false" customHeight="false" outlineLevel="0" collapsed="false">
      <c r="A134" s="5" t="s">
        <v>709</v>
      </c>
      <c r="B134" s="2" t="s">
        <v>229</v>
      </c>
      <c r="C134" s="5" t="s">
        <v>645</v>
      </c>
      <c r="D134" s="11" t="n">
        <v>0.9</v>
      </c>
      <c r="E134" s="11" t="n">
        <v>-0.00747686185099172</v>
      </c>
      <c r="F134" s="11" t="n">
        <v>-0.060585628910367</v>
      </c>
      <c r="G134" s="11" t="n">
        <v>0.15452706601933</v>
      </c>
      <c r="H134" s="11" t="n">
        <v>0</v>
      </c>
      <c r="I134" s="11" t="n">
        <v>0</v>
      </c>
      <c r="J134" s="15" t="n">
        <v>1.10978282783206</v>
      </c>
      <c r="K134" s="2" t="s">
        <v>728</v>
      </c>
    </row>
    <row r="135" customFormat="false" ht="68.65" hidden="false" customHeight="false" outlineLevel="0" collapsed="false">
      <c r="A135" s="5" t="s">
        <v>709</v>
      </c>
      <c r="B135" s="2" t="s">
        <v>229</v>
      </c>
      <c r="C135" s="5" t="s">
        <v>645</v>
      </c>
      <c r="D135" s="11" t="n">
        <v>0.75</v>
      </c>
      <c r="E135" s="11" t="n">
        <v>-0.0167220732309077</v>
      </c>
      <c r="F135" s="11" t="n">
        <v>-0.13558522879992</v>
      </c>
      <c r="G135" s="11" t="n">
        <v>0.35168892159994</v>
      </c>
      <c r="H135" s="11" t="n">
        <v>0</v>
      </c>
      <c r="I135" s="11" t="n">
        <v>0</v>
      </c>
      <c r="J135" s="15" t="n">
        <v>1.27486158277017</v>
      </c>
      <c r="K135" s="2" t="s">
        <v>729</v>
      </c>
    </row>
    <row r="136" customFormat="false" ht="68.65" hidden="false" customHeight="false" outlineLevel="0" collapsed="false">
      <c r="A136" s="5" t="s">
        <v>709</v>
      </c>
      <c r="B136" s="2" t="s">
        <v>229</v>
      </c>
      <c r="C136" s="5" t="s">
        <v>645</v>
      </c>
      <c r="D136" s="11" t="n">
        <v>0.6</v>
      </c>
      <c r="E136" s="11" t="n">
        <v>-0.0242356496895841</v>
      </c>
      <c r="F136" s="11" t="n">
        <v>-0.196608642629225</v>
      </c>
      <c r="G136" s="11" t="n">
        <v>0.517965185577535</v>
      </c>
      <c r="H136" s="11" t="n">
        <v>0</v>
      </c>
      <c r="I136" s="11" t="n">
        <v>0</v>
      </c>
      <c r="J136" s="15" t="n">
        <v>1.440305904157</v>
      </c>
      <c r="K136" s="2" t="s">
        <v>730</v>
      </c>
    </row>
    <row r="137" customFormat="false" ht="68.65" hidden="false" customHeight="false" outlineLevel="0" collapsed="false">
      <c r="A137" s="5" t="s">
        <v>709</v>
      </c>
      <c r="B137" s="2" t="s">
        <v>232</v>
      </c>
      <c r="C137" s="5" t="s">
        <v>642</v>
      </c>
      <c r="D137" s="11" t="n">
        <v>0.9</v>
      </c>
      <c r="E137" s="11" t="n">
        <v>-0.0644465493782092</v>
      </c>
      <c r="F137" s="11" t="n">
        <v>-0.144750576986719</v>
      </c>
      <c r="G137" s="11" t="n">
        <v>0.192902187823706</v>
      </c>
      <c r="H137" s="11" t="n">
        <v>0</v>
      </c>
      <c r="I137" s="11" t="n">
        <v>-0.0713458465517987</v>
      </c>
      <c r="J137" s="15" t="n">
        <v>1.1174265649885</v>
      </c>
      <c r="K137" s="2" t="s">
        <v>731</v>
      </c>
    </row>
    <row r="138" customFormat="false" ht="68.65" hidden="false" customHeight="false" outlineLevel="0" collapsed="false">
      <c r="A138" s="5" t="s">
        <v>709</v>
      </c>
      <c r="B138" s="2" t="s">
        <v>232</v>
      </c>
      <c r="C138" s="5" t="s">
        <v>642</v>
      </c>
      <c r="D138" s="11" t="n">
        <v>0.75</v>
      </c>
      <c r="E138" s="11" t="n">
        <v>-0.155918218081057</v>
      </c>
      <c r="F138" s="11" t="n">
        <v>-0.362545137850145</v>
      </c>
      <c r="G138" s="11" t="n">
        <v>0.455831832669758</v>
      </c>
      <c r="H138" s="11" t="n">
        <v>0</v>
      </c>
      <c r="I138" s="11" t="n">
        <v>-0.171666873625445</v>
      </c>
      <c r="J138" s="15" t="n">
        <v>1.35010343218856</v>
      </c>
      <c r="K138" s="2" t="s">
        <v>732</v>
      </c>
    </row>
    <row r="139" customFormat="false" ht="68.65" hidden="false" customHeight="false" outlineLevel="0" collapsed="false">
      <c r="A139" s="5" t="s">
        <v>709</v>
      </c>
      <c r="B139" s="2" t="s">
        <v>232</v>
      </c>
      <c r="C139" s="5" t="s">
        <v>642</v>
      </c>
      <c r="D139" s="11" t="n">
        <v>0.5</v>
      </c>
      <c r="E139" s="11" t="n">
        <v>-0.280269227307647</v>
      </c>
      <c r="F139" s="11" t="n">
        <v>-0.696740351360497</v>
      </c>
      <c r="G139" s="11" t="n">
        <v>0.792867555854623</v>
      </c>
      <c r="H139" s="11" t="n">
        <v>0</v>
      </c>
      <c r="I139" s="11" t="n">
        <v>-0.306094899621428</v>
      </c>
      <c r="J139" s="15" t="n">
        <v>2.21542430022136</v>
      </c>
      <c r="K139" s="2" t="s">
        <v>733</v>
      </c>
    </row>
    <row r="140" customFormat="false" ht="68.65" hidden="false" customHeight="false" outlineLevel="0" collapsed="false">
      <c r="A140" s="5" t="s">
        <v>709</v>
      </c>
      <c r="B140" s="2" t="s">
        <v>232</v>
      </c>
      <c r="C140" s="5" t="s">
        <v>642</v>
      </c>
      <c r="D140" s="11" t="n">
        <v>0.25</v>
      </c>
      <c r="E140" s="11" t="n">
        <v>-0.340960069049852</v>
      </c>
      <c r="F140" s="11" t="n">
        <v>-0.888175120784998</v>
      </c>
      <c r="G140" s="11" t="n">
        <v>0.947831849208892</v>
      </c>
      <c r="H140" s="11" t="n">
        <v>0</v>
      </c>
      <c r="I140" s="11" t="n">
        <v>-0.370796963088641</v>
      </c>
      <c r="J140" s="15" t="n">
        <v>4.30831757117936</v>
      </c>
      <c r="K140" s="2" t="s">
        <v>734</v>
      </c>
    </row>
    <row r="141" customFormat="false" ht="68.65" hidden="false" customHeight="false" outlineLevel="0" collapsed="false">
      <c r="A141" s="5" t="s">
        <v>709</v>
      </c>
      <c r="B141" s="2" t="s">
        <v>232</v>
      </c>
      <c r="C141" s="5" t="s">
        <v>642</v>
      </c>
      <c r="D141" s="11" t="n">
        <v>0.1</v>
      </c>
      <c r="E141" s="11" t="n">
        <v>-0.353983204630241</v>
      </c>
      <c r="F141" s="11" t="n">
        <v>-0.933127607503124</v>
      </c>
      <c r="G141" s="11" t="n">
        <v>0.981152799041399</v>
      </c>
      <c r="H141" s="11" t="n">
        <v>0</v>
      </c>
      <c r="I141" s="11" t="n">
        <v>-0.384596746596106</v>
      </c>
      <c r="J141" s="15" t="n">
        <v>6.06972142422799</v>
      </c>
      <c r="K141" s="2" t="s">
        <v>735</v>
      </c>
    </row>
    <row r="142" customFormat="false" ht="68.65" hidden="false" customHeight="false" outlineLevel="0" collapsed="false">
      <c r="A142" s="5" t="s">
        <v>709</v>
      </c>
      <c r="B142" s="2" t="s">
        <v>232</v>
      </c>
      <c r="C142" s="5" t="s">
        <v>645</v>
      </c>
      <c r="D142" s="11" t="n">
        <v>0.9</v>
      </c>
      <c r="E142" s="11" t="n">
        <v>-0.293734822666947</v>
      </c>
      <c r="F142" s="11" t="n">
        <v>-0.510261449019512</v>
      </c>
      <c r="G142" s="11" t="n">
        <v>0.537834341188907</v>
      </c>
      <c r="H142" s="11" t="n">
        <v>0</v>
      </c>
      <c r="I142" s="11" t="n">
        <v>0</v>
      </c>
      <c r="J142" s="15" t="n">
        <v>1.78533756822877</v>
      </c>
      <c r="K142" s="2" t="s">
        <v>736</v>
      </c>
    </row>
    <row r="143" customFormat="false" ht="68.65" hidden="false" customHeight="false" outlineLevel="0" collapsed="false">
      <c r="A143" s="5" t="s">
        <v>709</v>
      </c>
      <c r="B143" s="2" t="s">
        <v>232</v>
      </c>
      <c r="C143" s="5" t="s">
        <v>645</v>
      </c>
      <c r="D143" s="11" t="n">
        <v>0.75</v>
      </c>
      <c r="E143" s="11" t="n">
        <v>-0.447206213154877</v>
      </c>
      <c r="F143" s="11" t="n">
        <v>-0.790538095692637</v>
      </c>
      <c r="G143" s="11" t="n">
        <v>0.821191260181109</v>
      </c>
      <c r="H143" s="11" t="n">
        <v>0</v>
      </c>
      <c r="I143" s="11" t="n">
        <v>0</v>
      </c>
      <c r="J143" s="15" t="n">
        <v>2.83528444301531</v>
      </c>
      <c r="K143" s="2" t="s">
        <v>737</v>
      </c>
    </row>
    <row r="144" customFormat="false" ht="68.65" hidden="false" customHeight="false" outlineLevel="0" collapsed="false">
      <c r="A144" s="5" t="s">
        <v>709</v>
      </c>
      <c r="B144" s="2" t="s">
        <v>232</v>
      </c>
      <c r="C144" s="5" t="s">
        <v>645</v>
      </c>
      <c r="D144" s="11" t="n">
        <v>0.5</v>
      </c>
      <c r="E144" s="11" t="n">
        <v>-0.516701972849982</v>
      </c>
      <c r="F144" s="11" t="n">
        <v>-0.925622098714817</v>
      </c>
      <c r="G144" s="11" t="n">
        <v>0.949198396315768</v>
      </c>
      <c r="H144" s="11" t="n">
        <v>0</v>
      </c>
      <c r="I144" s="11" t="n">
        <v>0</v>
      </c>
      <c r="J144" s="15" t="n">
        <v>5.6541941922025</v>
      </c>
      <c r="K144" s="2" t="s">
        <v>738</v>
      </c>
    </row>
    <row r="145" customFormat="false" ht="68.65" hidden="false" customHeight="false" outlineLevel="0" collapsed="false">
      <c r="A145" s="5" t="s">
        <v>709</v>
      </c>
      <c r="B145" s="2" t="s">
        <v>232</v>
      </c>
      <c r="C145" s="5" t="s">
        <v>645</v>
      </c>
      <c r="D145" s="11" t="n">
        <v>0.25</v>
      </c>
      <c r="E145" s="11" t="n">
        <v>-0.534855270730686</v>
      </c>
      <c r="F145" s="11" t="n">
        <v>-0.96241511355268</v>
      </c>
      <c r="G145" s="11" t="n">
        <v>0.982466030480743</v>
      </c>
      <c r="H145" s="11" t="n">
        <v>0</v>
      </c>
      <c r="I145" s="11" t="n">
        <v>0</v>
      </c>
      <c r="J145" s="15" t="n">
        <v>8.91232821006914</v>
      </c>
      <c r="K145" s="2" t="s">
        <v>739</v>
      </c>
    </row>
    <row r="146" customFormat="false" ht="68.65" hidden="false" customHeight="false" outlineLevel="0" collapsed="false">
      <c r="A146" s="5" t="s">
        <v>709</v>
      </c>
      <c r="B146" s="2" t="s">
        <v>232</v>
      </c>
      <c r="C146" s="5" t="s">
        <v>645</v>
      </c>
      <c r="D146" s="11" t="n">
        <v>0.1</v>
      </c>
      <c r="E146" s="11" t="n">
        <v>-0.539708072181811</v>
      </c>
      <c r="F146" s="11" t="n">
        <v>-0.972389050930883</v>
      </c>
      <c r="G146" s="11" t="n">
        <v>0.992218177242759</v>
      </c>
      <c r="H146" s="11" t="n">
        <v>0</v>
      </c>
      <c r="I146" s="11" t="n">
        <v>0</v>
      </c>
      <c r="J146" s="15" t="n">
        <v>10.9465965034933</v>
      </c>
      <c r="K146" s="2" t="s">
        <v>740</v>
      </c>
    </row>
    <row r="147" customFormat="false" ht="68.65" hidden="false" customHeight="false" outlineLevel="0" collapsed="false">
      <c r="A147" s="5" t="s">
        <v>709</v>
      </c>
      <c r="B147" s="2" t="s">
        <v>236</v>
      </c>
      <c r="C147" s="5" t="s">
        <v>642</v>
      </c>
      <c r="D147" s="11" t="n">
        <v>0.9</v>
      </c>
      <c r="E147" s="11" t="n">
        <v>-0.00114354774272663</v>
      </c>
      <c r="F147" s="11" t="n">
        <v>-0.00251897390308398</v>
      </c>
      <c r="G147" s="11" t="n">
        <v>0.14833576937761</v>
      </c>
      <c r="H147" s="11" t="n">
        <v>0</v>
      </c>
      <c r="I147" s="11" t="n">
        <v>-0.00127052785335247</v>
      </c>
      <c r="J147" s="15" t="n">
        <v>1.00459626120022</v>
      </c>
      <c r="K147" s="2" t="s">
        <v>687</v>
      </c>
    </row>
    <row r="148" customFormat="false" ht="68.65" hidden="false" customHeight="false" outlineLevel="0" collapsed="false">
      <c r="A148" s="5" t="s">
        <v>709</v>
      </c>
      <c r="B148" s="2" t="s">
        <v>236</v>
      </c>
      <c r="C148" s="5" t="s">
        <v>642</v>
      </c>
      <c r="D148" s="11" t="n">
        <v>0.75</v>
      </c>
      <c r="E148" s="11" t="n">
        <v>-0.00284656308494968</v>
      </c>
      <c r="F148" s="11" t="n">
        <v>-0.00627336764328002</v>
      </c>
      <c r="G148" s="11" t="n">
        <v>0.354555618971441</v>
      </c>
      <c r="H148" s="11" t="n">
        <v>0</v>
      </c>
      <c r="I148" s="11" t="n">
        <v>-0.0031623472693999</v>
      </c>
      <c r="J148" s="15" t="n">
        <v>1.01150776137143</v>
      </c>
      <c r="K148" s="2" t="s">
        <v>688</v>
      </c>
    </row>
    <row r="149" customFormat="false" ht="68.65" hidden="false" customHeight="false" outlineLevel="0" collapsed="false">
      <c r="A149" s="5" t="s">
        <v>709</v>
      </c>
      <c r="B149" s="2" t="s">
        <v>236</v>
      </c>
      <c r="C149" s="5" t="s">
        <v>642</v>
      </c>
      <c r="D149" s="11" t="n">
        <v>0.5</v>
      </c>
      <c r="E149" s="11" t="n">
        <v>-0.00565244980764157</v>
      </c>
      <c r="F149" s="11" t="n">
        <v>-0.0124671010776493</v>
      </c>
      <c r="G149" s="11" t="n">
        <v>0.650854395263598</v>
      </c>
      <c r="H149" s="11" t="n">
        <v>0</v>
      </c>
      <c r="I149" s="11" t="n">
        <v>-0.0062785242404475</v>
      </c>
      <c r="J149" s="15" t="n">
        <v>1.02307207672838</v>
      </c>
      <c r="K149" s="2" t="s">
        <v>741</v>
      </c>
    </row>
    <row r="150" customFormat="false" ht="68.65" hidden="false" customHeight="false" outlineLevel="0" collapsed="false">
      <c r="A150" s="5" t="s">
        <v>709</v>
      </c>
      <c r="B150" s="2" t="s">
        <v>236</v>
      </c>
      <c r="C150" s="5" t="s">
        <v>642</v>
      </c>
      <c r="D150" s="11" t="n">
        <v>0.25</v>
      </c>
      <c r="E150" s="11" t="n">
        <v>-0.00841830450804793</v>
      </c>
      <c r="F150" s="11" t="n">
        <v>-0.018582304110642</v>
      </c>
      <c r="G150" s="11" t="n">
        <v>0.87732278801383</v>
      </c>
      <c r="H150" s="11" t="n">
        <v>0</v>
      </c>
      <c r="I150" s="11" t="n">
        <v>-0.00934928616181296</v>
      </c>
      <c r="J150" s="15" t="n">
        <v>1.03469206655673</v>
      </c>
      <c r="K150" s="2" t="s">
        <v>742</v>
      </c>
    </row>
    <row r="151" customFormat="false" ht="68.65" hidden="false" customHeight="false" outlineLevel="0" collapsed="false">
      <c r="A151" s="5" t="s">
        <v>709</v>
      </c>
      <c r="B151" s="2" t="s">
        <v>236</v>
      </c>
      <c r="C151" s="5" t="s">
        <v>642</v>
      </c>
      <c r="D151" s="11" t="n">
        <v>0.1</v>
      </c>
      <c r="E151" s="11" t="n">
        <v>-0.0100588678466815</v>
      </c>
      <c r="F151" s="11" t="n">
        <v>-0.0222141883868826</v>
      </c>
      <c r="G151" s="11" t="n">
        <v>0.969079697715062</v>
      </c>
      <c r="H151" s="11" t="n">
        <v>0</v>
      </c>
      <c r="I151" s="11" t="n">
        <v>-0.0111702553961268</v>
      </c>
      <c r="J151" s="15" t="n">
        <v>1.04169042162913</v>
      </c>
      <c r="K151" s="2" t="s">
        <v>743</v>
      </c>
    </row>
    <row r="152" customFormat="false" ht="68.65" hidden="false" customHeight="false" outlineLevel="0" collapsed="false">
      <c r="A152" s="5" t="s">
        <v>709</v>
      </c>
      <c r="B152" s="2" t="s">
        <v>236</v>
      </c>
      <c r="C152" s="5" t="s">
        <v>642</v>
      </c>
      <c r="D152" s="11" t="n">
        <v>0.06</v>
      </c>
      <c r="E152" s="11" t="n">
        <v>-0.010493973778519</v>
      </c>
      <c r="F152" s="11" t="n">
        <v>-0.0231780131330486</v>
      </c>
      <c r="G152" s="11" t="n">
        <v>0.985643707375866</v>
      </c>
      <c r="H152" s="11" t="n">
        <v>0</v>
      </c>
      <c r="I152" s="11" t="n">
        <v>-0.0116531518772063</v>
      </c>
      <c r="J152" s="15" t="n">
        <v>1.04355995784983</v>
      </c>
      <c r="K152" s="2" t="s">
        <v>744</v>
      </c>
    </row>
    <row r="153" customFormat="false" ht="68.65" hidden="false" customHeight="false" outlineLevel="0" collapsed="false">
      <c r="A153" s="5" t="s">
        <v>709</v>
      </c>
      <c r="B153" s="2" t="s">
        <v>236</v>
      </c>
      <c r="C153" s="5" t="s">
        <v>645</v>
      </c>
      <c r="D153" s="11" t="n">
        <v>0.9</v>
      </c>
      <c r="E153" s="11" t="n">
        <v>-0.00191392544287106</v>
      </c>
      <c r="F153" s="11" t="n">
        <v>-0.00327404846167911</v>
      </c>
      <c r="G153" s="11" t="n">
        <v>0.14898046333788</v>
      </c>
      <c r="H153" s="11" t="n">
        <v>0</v>
      </c>
      <c r="I153" s="11" t="n">
        <v>0</v>
      </c>
      <c r="J153" s="15" t="n">
        <v>1.00598039318357</v>
      </c>
      <c r="K153" s="2" t="s">
        <v>687</v>
      </c>
    </row>
    <row r="154" customFormat="false" ht="68.65" hidden="false" customHeight="false" outlineLevel="0" collapsed="false">
      <c r="A154" s="5" t="s">
        <v>709</v>
      </c>
      <c r="B154" s="2" t="s">
        <v>236</v>
      </c>
      <c r="C154" s="5" t="s">
        <v>645</v>
      </c>
      <c r="D154" s="11" t="n">
        <v>0.75</v>
      </c>
      <c r="E154" s="11" t="n">
        <v>-0.00475219606494171</v>
      </c>
      <c r="F154" s="11" t="n">
        <v>-0.00813010780717527</v>
      </c>
      <c r="G154" s="11" t="n">
        <v>0.355761607084061</v>
      </c>
      <c r="H154" s="11" t="n">
        <v>0</v>
      </c>
      <c r="I154" s="11" t="n">
        <v>0</v>
      </c>
      <c r="J154" s="15" t="n">
        <v>1.0149531274434</v>
      </c>
      <c r="K154" s="2" t="s">
        <v>690</v>
      </c>
    </row>
    <row r="155" customFormat="false" ht="68.65" hidden="false" customHeight="false" outlineLevel="0" collapsed="false">
      <c r="A155" s="5" t="s">
        <v>709</v>
      </c>
      <c r="B155" s="2" t="s">
        <v>236</v>
      </c>
      <c r="C155" s="5" t="s">
        <v>645</v>
      </c>
      <c r="D155" s="11" t="n">
        <v>0.5</v>
      </c>
      <c r="E155" s="11" t="n">
        <v>-0.00939776595325337</v>
      </c>
      <c r="F155" s="11" t="n">
        <v>-0.0160803607509854</v>
      </c>
      <c r="G155" s="11" t="n">
        <v>0.6521318754722</v>
      </c>
      <c r="H155" s="11" t="n">
        <v>0</v>
      </c>
      <c r="I155" s="11" t="n">
        <v>0</v>
      </c>
      <c r="J155" s="15" t="n">
        <v>1.0299133178399</v>
      </c>
      <c r="K155" s="2" t="s">
        <v>691</v>
      </c>
    </row>
    <row r="156" customFormat="false" ht="68.65" hidden="false" customHeight="false" outlineLevel="0" collapsed="false">
      <c r="A156" s="5" t="s">
        <v>709</v>
      </c>
      <c r="B156" s="2" t="s">
        <v>236</v>
      </c>
      <c r="C156" s="5" t="s">
        <v>645</v>
      </c>
      <c r="D156" s="11" t="n">
        <v>0.25</v>
      </c>
      <c r="E156" s="11" t="n">
        <v>-0.0139405224312184</v>
      </c>
      <c r="F156" s="11" t="n">
        <v>-0.0238571563408843</v>
      </c>
      <c r="G156" s="11" t="n">
        <v>0.877982144542611</v>
      </c>
      <c r="H156" s="11" t="n">
        <v>0</v>
      </c>
      <c r="I156" s="11" t="n">
        <v>2.22044604925031E-016</v>
      </c>
      <c r="J156" s="15" t="n">
        <v>1.04488042101461</v>
      </c>
      <c r="K156" s="2" t="s">
        <v>745</v>
      </c>
    </row>
    <row r="157" customFormat="false" ht="68.65" hidden="false" customHeight="false" outlineLevel="0" collapsed="false">
      <c r="A157" s="5" t="s">
        <v>709</v>
      </c>
      <c r="B157" s="2" t="s">
        <v>236</v>
      </c>
      <c r="C157" s="5" t="s">
        <v>645</v>
      </c>
      <c r="D157" s="11" t="n">
        <v>0.1</v>
      </c>
      <c r="E157" s="11" t="n">
        <v>-0.0166183422937443</v>
      </c>
      <c r="F157" s="11" t="n">
        <v>-0.0284425187142379</v>
      </c>
      <c r="G157" s="11" t="n">
        <v>0.969276654813606</v>
      </c>
      <c r="H157" s="11" t="n">
        <v>0</v>
      </c>
      <c r="I157" s="11" t="n">
        <v>0</v>
      </c>
      <c r="J157" s="15" t="n">
        <v>1.05386394080938</v>
      </c>
      <c r="K157" s="2" t="s">
        <v>746</v>
      </c>
    </row>
    <row r="158" customFormat="false" ht="68.65" hidden="false" customHeight="false" outlineLevel="0" collapsed="false">
      <c r="A158" s="5" t="s">
        <v>709</v>
      </c>
      <c r="B158" s="2" t="s">
        <v>236</v>
      </c>
      <c r="C158" s="5" t="s">
        <v>645</v>
      </c>
      <c r="D158" s="11" t="n">
        <v>0.06</v>
      </c>
      <c r="E158" s="11" t="n">
        <v>-0.0173264942550193</v>
      </c>
      <c r="F158" s="11" t="n">
        <v>-0.0296552689610776</v>
      </c>
      <c r="G158" s="11" t="n">
        <v>0.985738903206139</v>
      </c>
      <c r="H158" s="11" t="n">
        <v>0</v>
      </c>
      <c r="I158" s="11" t="n">
        <v>0</v>
      </c>
      <c r="J158" s="15" t="n">
        <v>1.0562599537034</v>
      </c>
      <c r="K158" s="2" t="s">
        <v>747</v>
      </c>
    </row>
    <row r="159" customFormat="false" ht="68.65" hidden="false" customHeight="false" outlineLevel="0" collapsed="false">
      <c r="A159" s="5" t="s">
        <v>709</v>
      </c>
      <c r="B159" s="2" t="s">
        <v>240</v>
      </c>
      <c r="C159" s="5" t="s">
        <v>642</v>
      </c>
      <c r="D159" s="11" t="n">
        <v>0.9</v>
      </c>
      <c r="E159" s="11" t="n">
        <v>-0.000407784622479257</v>
      </c>
      <c r="F159" s="11" t="n">
        <v>-0.000898068813298458</v>
      </c>
      <c r="G159" s="11" t="n">
        <v>0.190727435738772</v>
      </c>
      <c r="H159" s="11" t="n">
        <v>0</v>
      </c>
      <c r="I159" s="11" t="n">
        <v>-0.000453083759026418</v>
      </c>
      <c r="J159" s="15" t="n">
        <v>1.00163492106252</v>
      </c>
      <c r="K159" s="2" t="s">
        <v>692</v>
      </c>
    </row>
    <row r="160" customFormat="false" ht="68.65" hidden="false" customHeight="false" outlineLevel="0" collapsed="false">
      <c r="A160" s="5" t="s">
        <v>709</v>
      </c>
      <c r="B160" s="2" t="s">
        <v>240</v>
      </c>
      <c r="C160" s="5" t="s">
        <v>642</v>
      </c>
      <c r="D160" s="11" t="n">
        <v>0.75</v>
      </c>
      <c r="E160" s="11" t="n">
        <v>-0.00101789795594676</v>
      </c>
      <c r="F160" s="11" t="n">
        <v>-0.00224211618416292</v>
      </c>
      <c r="G160" s="11" t="n">
        <v>0.438761190353592</v>
      </c>
      <c r="H160" s="11" t="n">
        <v>0</v>
      </c>
      <c r="I160" s="11" t="n">
        <v>-0.00113093375173745</v>
      </c>
      <c r="J160" s="15" t="n">
        <v>1.00408949104088</v>
      </c>
      <c r="K160" s="2" t="s">
        <v>692</v>
      </c>
    </row>
    <row r="161" customFormat="false" ht="68.65" hidden="false" customHeight="false" outlineLevel="0" collapsed="false">
      <c r="A161" s="5" t="s">
        <v>709</v>
      </c>
      <c r="B161" s="2" t="s">
        <v>240</v>
      </c>
      <c r="C161" s="5" t="s">
        <v>642</v>
      </c>
      <c r="D161" s="11" t="n">
        <v>0.5</v>
      </c>
      <c r="E161" s="11" t="n">
        <v>-0.00203059821866902</v>
      </c>
      <c r="F161" s="11" t="n">
        <v>-0.00447407157048885</v>
      </c>
      <c r="G161" s="11" t="n">
        <v>0.751118517892622</v>
      </c>
      <c r="H161" s="11" t="n">
        <v>0</v>
      </c>
      <c r="I161" s="11" t="n">
        <v>-0.00225596556319108</v>
      </c>
      <c r="J161" s="15" t="n">
        <v>1.00818625322381</v>
      </c>
      <c r="K161" s="2" t="s">
        <v>748</v>
      </c>
    </row>
    <row r="162" customFormat="false" ht="68.65" hidden="false" customHeight="false" outlineLevel="0" collapsed="false">
      <c r="A162" s="5" t="s">
        <v>709</v>
      </c>
      <c r="B162" s="2" t="s">
        <v>240</v>
      </c>
      <c r="C162" s="5" t="s">
        <v>645</v>
      </c>
      <c r="D162" s="11" t="n">
        <v>0.9</v>
      </c>
      <c r="E162" s="11" t="n">
        <v>-0.0006807600625649</v>
      </c>
      <c r="F162" s="11" t="n">
        <v>-0.00116449101884153</v>
      </c>
      <c r="G162" s="11" t="n">
        <v>0.190943237725262</v>
      </c>
      <c r="H162" s="11" t="n">
        <v>0</v>
      </c>
      <c r="I162" s="11" t="n">
        <v>0</v>
      </c>
      <c r="J162" s="15" t="n">
        <v>1.00212073570445</v>
      </c>
      <c r="K162" s="2" t="s">
        <v>692</v>
      </c>
    </row>
    <row r="163" customFormat="false" ht="68.65" hidden="false" customHeight="false" outlineLevel="0" collapsed="false">
      <c r="A163" s="5" t="s">
        <v>709</v>
      </c>
      <c r="B163" s="2" t="s">
        <v>240</v>
      </c>
      <c r="C163" s="5" t="s">
        <v>645</v>
      </c>
      <c r="D163" s="11" t="n">
        <v>0.75</v>
      </c>
      <c r="E163" s="11" t="n">
        <v>-0.00169777674884108</v>
      </c>
      <c r="F163" s="11" t="n">
        <v>-0.00290427340155053</v>
      </c>
      <c r="G163" s="11" t="n">
        <v>0.439133653788372</v>
      </c>
      <c r="H163" s="11" t="n">
        <v>0</v>
      </c>
      <c r="I163" s="11" t="n">
        <v>0</v>
      </c>
      <c r="J163" s="15" t="n">
        <v>1.00530218707997</v>
      </c>
      <c r="K163" s="2" t="s">
        <v>687</v>
      </c>
    </row>
    <row r="164" customFormat="false" ht="68.65" hidden="false" customHeight="false" outlineLevel="0" collapsed="false">
      <c r="A164" s="5" t="s">
        <v>709</v>
      </c>
      <c r="B164" s="2" t="s">
        <v>240</v>
      </c>
      <c r="C164" s="5" t="s">
        <v>645</v>
      </c>
      <c r="D164" s="11" t="n">
        <v>0.5</v>
      </c>
      <c r="E164" s="11" t="n">
        <v>-0.00338190156425422</v>
      </c>
      <c r="F164" s="11" t="n">
        <v>-0.00578552347767247</v>
      </c>
      <c r="G164" s="11" t="n">
        <v>0.751446380869418</v>
      </c>
      <c r="H164" s="11" t="n">
        <v>0</v>
      </c>
      <c r="I164" s="11" t="n">
        <v>0</v>
      </c>
      <c r="J164" s="15" t="n">
        <v>1.01060552491012</v>
      </c>
      <c r="K164" s="2" t="s">
        <v>748</v>
      </c>
    </row>
    <row r="165" customFormat="false" ht="68.65" hidden="false" customHeight="false" outlineLevel="0" collapsed="false">
      <c r="A165" s="5" t="s">
        <v>709</v>
      </c>
      <c r="B165" s="2" t="s">
        <v>247</v>
      </c>
      <c r="C165" s="5" t="s">
        <v>642</v>
      </c>
      <c r="D165" s="11" t="n">
        <v>0.9</v>
      </c>
      <c r="E165" s="11" t="n">
        <v>-0.00154136878437106</v>
      </c>
      <c r="F165" s="11" t="n">
        <v>-0.00154136878437106</v>
      </c>
      <c r="G165" s="11" t="n">
        <v>0.0822506551231101</v>
      </c>
      <c r="H165" s="11" t="n">
        <v>0</v>
      </c>
      <c r="I165" s="11" t="n">
        <v>-0.00171248526019241</v>
      </c>
      <c r="J165" s="15" t="n">
        <v>1.00329210195605</v>
      </c>
      <c r="K165" s="2" t="s">
        <v>692</v>
      </c>
    </row>
    <row r="166" customFormat="false" ht="68.65" hidden="false" customHeight="false" outlineLevel="0" collapsed="false">
      <c r="A166" s="5" t="s">
        <v>709</v>
      </c>
      <c r="B166" s="2" t="s">
        <v>247</v>
      </c>
      <c r="C166" s="5" t="s">
        <v>642</v>
      </c>
      <c r="D166" s="11" t="n">
        <v>0.75</v>
      </c>
      <c r="E166" s="11" t="n">
        <v>-0.00384628528869069</v>
      </c>
      <c r="F166" s="11" t="n">
        <v>-0.00384628528869069</v>
      </c>
      <c r="G166" s="11" t="n">
        <v>0.208637677021333</v>
      </c>
      <c r="H166" s="11" t="n">
        <v>0</v>
      </c>
      <c r="I166" s="11" t="n">
        <v>-0.0042727360737953</v>
      </c>
      <c r="J166" s="15" t="n">
        <v>1.00824476521124</v>
      </c>
      <c r="K166" s="2" t="s">
        <v>697</v>
      </c>
    </row>
    <row r="167" customFormat="false" ht="68.65" hidden="false" customHeight="false" outlineLevel="0" collapsed="false">
      <c r="A167" s="5" t="s">
        <v>709</v>
      </c>
      <c r="B167" s="2" t="s">
        <v>247</v>
      </c>
      <c r="C167" s="5" t="s">
        <v>642</v>
      </c>
      <c r="D167" s="11" t="n">
        <v>0.5</v>
      </c>
      <c r="E167" s="11" t="n">
        <v>-0.00766882479462994</v>
      </c>
      <c r="F167" s="11" t="n">
        <v>-0.00766882479462994</v>
      </c>
      <c r="G167" s="11" t="n">
        <v>0.430055405714658</v>
      </c>
      <c r="H167" s="11" t="n">
        <v>0</v>
      </c>
      <c r="I167" s="11" t="n">
        <v>-0.00851727785869372</v>
      </c>
      <c r="J167" s="15" t="n">
        <v>1.01653784597135</v>
      </c>
      <c r="K167" s="2" t="s">
        <v>702</v>
      </c>
    </row>
    <row r="168" customFormat="false" ht="68.65" hidden="false" customHeight="false" outlineLevel="0" collapsed="false">
      <c r="A168" s="5" t="s">
        <v>709</v>
      </c>
      <c r="B168" s="2" t="s">
        <v>247</v>
      </c>
      <c r="C168" s="5" t="s">
        <v>642</v>
      </c>
      <c r="D168" s="11" t="n">
        <v>0.25</v>
      </c>
      <c r="E168" s="11" t="n">
        <v>-0.011467702739155</v>
      </c>
      <c r="F168" s="11" t="n">
        <v>-0.011467702739155</v>
      </c>
      <c r="G168" s="11" t="n">
        <v>0.673905953427453</v>
      </c>
      <c r="H168" s="11" t="n">
        <v>0</v>
      </c>
      <c r="I168" s="11" t="n">
        <v>-0.0127337464085904</v>
      </c>
      <c r="J168" s="15" t="n">
        <v>1.02487914679112</v>
      </c>
      <c r="K168" s="2" t="s">
        <v>703</v>
      </c>
    </row>
    <row r="169" customFormat="false" ht="68.65" hidden="false" customHeight="false" outlineLevel="0" collapsed="false">
      <c r="A169" s="5" t="s">
        <v>709</v>
      </c>
      <c r="B169" s="2" t="s">
        <v>247</v>
      </c>
      <c r="C169" s="5" t="s">
        <v>642</v>
      </c>
      <c r="D169" s="11" t="n">
        <v>0.15</v>
      </c>
      <c r="E169" s="11" t="n">
        <v>-0.0129806479513037</v>
      </c>
      <c r="F169" s="11" t="n">
        <v>-0.0129806479513037</v>
      </c>
      <c r="G169" s="11" t="n">
        <v>0.78362918794626</v>
      </c>
      <c r="H169" s="11" t="n">
        <v>0</v>
      </c>
      <c r="I169" s="11" t="n">
        <v>-0.0144125008542936</v>
      </c>
      <c r="J169" s="15" t="n">
        <v>1.0282291468225</v>
      </c>
      <c r="K169" s="2" t="s">
        <v>749</v>
      </c>
    </row>
    <row r="170" customFormat="false" ht="68.65" hidden="false" customHeight="false" outlineLevel="0" collapsed="false">
      <c r="A170" s="5" t="s">
        <v>709</v>
      </c>
      <c r="B170" s="2" t="s">
        <v>247</v>
      </c>
      <c r="C170" s="5" t="s">
        <v>645</v>
      </c>
      <c r="D170" s="11" t="n">
        <v>0.9</v>
      </c>
      <c r="E170" s="11" t="n">
        <v>-0.00259866322852465</v>
      </c>
      <c r="F170" s="11" t="n">
        <v>-0.00259866322852465</v>
      </c>
      <c r="G170" s="11" t="n">
        <v>0.083222484353814</v>
      </c>
      <c r="H170" s="11" t="n">
        <v>0</v>
      </c>
      <c r="I170" s="11" t="n">
        <v>0</v>
      </c>
      <c r="J170" s="15" t="n">
        <v>1.00555950856857</v>
      </c>
      <c r="K170" s="2" t="s">
        <v>687</v>
      </c>
    </row>
    <row r="171" customFormat="false" ht="68.65" hidden="false" customHeight="false" outlineLevel="0" collapsed="false">
      <c r="A171" s="5" t="s">
        <v>709</v>
      </c>
      <c r="B171" s="2" t="s">
        <v>247</v>
      </c>
      <c r="C171" s="5" t="s">
        <v>645</v>
      </c>
      <c r="D171" s="11" t="n">
        <v>0.75</v>
      </c>
      <c r="E171" s="11" t="n">
        <v>-0.00646165973651613</v>
      </c>
      <c r="F171" s="11" t="n">
        <v>-0.00646165973651613</v>
      </c>
      <c r="G171" s="11" t="n">
        <v>0.210715377247638</v>
      </c>
      <c r="H171" s="11" t="n">
        <v>0</v>
      </c>
      <c r="I171" s="11" t="n">
        <v>0</v>
      </c>
      <c r="J171" s="15" t="n">
        <v>1.01390809467204</v>
      </c>
      <c r="K171" s="2" t="s">
        <v>702</v>
      </c>
    </row>
    <row r="172" customFormat="false" ht="68.65" hidden="false" customHeight="false" outlineLevel="0" collapsed="false">
      <c r="A172" s="5" t="s">
        <v>709</v>
      </c>
      <c r="B172" s="2" t="s">
        <v>247</v>
      </c>
      <c r="C172" s="5" t="s">
        <v>645</v>
      </c>
      <c r="D172" s="11" t="n">
        <v>0.5</v>
      </c>
      <c r="E172" s="11" t="n">
        <v>-0.0128084514466316</v>
      </c>
      <c r="F172" s="11" t="n">
        <v>-0.0128084514466316</v>
      </c>
      <c r="G172" s="11" t="n">
        <v>0.433007346054885</v>
      </c>
      <c r="H172" s="11" t="n">
        <v>0</v>
      </c>
      <c r="I172" s="11" t="n">
        <v>0</v>
      </c>
      <c r="J172" s="15" t="n">
        <v>1.02784705545799</v>
      </c>
      <c r="K172" s="2" t="s">
        <v>750</v>
      </c>
    </row>
    <row r="173" customFormat="false" ht="68.65" hidden="false" customHeight="false" outlineLevel="0" collapsed="false">
      <c r="A173" s="5" t="s">
        <v>709</v>
      </c>
      <c r="B173" s="2" t="s">
        <v>247</v>
      </c>
      <c r="C173" s="5" t="s">
        <v>645</v>
      </c>
      <c r="D173" s="11" t="n">
        <v>0.25</v>
      </c>
      <c r="E173" s="11" t="n">
        <v>-0.0190436546617212</v>
      </c>
      <c r="F173" s="11" t="n">
        <v>-0.0190436546617212</v>
      </c>
      <c r="G173" s="11" t="n">
        <v>0.676405085550819</v>
      </c>
      <c r="H173" s="11" t="n">
        <v>0</v>
      </c>
      <c r="I173" s="11" t="n">
        <v>2.22044604925031E-016</v>
      </c>
      <c r="J173" s="15" t="n">
        <v>1.04181649955222</v>
      </c>
      <c r="K173" s="2" t="s">
        <v>705</v>
      </c>
    </row>
    <row r="174" customFormat="false" ht="68.65" hidden="false" customHeight="false" outlineLevel="0" collapsed="false">
      <c r="A174" s="5" t="s">
        <v>709</v>
      </c>
      <c r="B174" s="2" t="s">
        <v>247</v>
      </c>
      <c r="C174" s="5" t="s">
        <v>645</v>
      </c>
      <c r="D174" s="11" t="n">
        <v>0.15</v>
      </c>
      <c r="E174" s="11" t="n">
        <v>-0.0215072014028164</v>
      </c>
      <c r="F174" s="11" t="n">
        <v>-0.0215072014028164</v>
      </c>
      <c r="G174" s="11" t="n">
        <v>0.785498348151168</v>
      </c>
      <c r="H174" s="11" t="n">
        <v>0</v>
      </c>
      <c r="I174" s="11" t="n">
        <v>0</v>
      </c>
      <c r="J174" s="15" t="n">
        <v>1.04741272863785</v>
      </c>
      <c r="K174" s="2" t="s">
        <v>751</v>
      </c>
    </row>
    <row r="175" customFormat="false" ht="68.65" hidden="false" customHeight="false" outlineLevel="0" collapsed="false">
      <c r="A175" s="5" t="s">
        <v>709</v>
      </c>
      <c r="B175" s="2" t="s">
        <v>251</v>
      </c>
      <c r="C175" s="5" t="s">
        <v>642</v>
      </c>
      <c r="D175" s="11" t="n">
        <v>0.9</v>
      </c>
      <c r="E175" s="11" t="n">
        <v>-0.00102580846372957</v>
      </c>
      <c r="F175" s="11" t="n">
        <v>-0.00102580846372957</v>
      </c>
      <c r="G175" s="11" t="n">
        <v>0.0622225744811836</v>
      </c>
      <c r="H175" s="11" t="n">
        <v>0</v>
      </c>
      <c r="I175" s="11" t="n">
        <v>-0.00113972220642822</v>
      </c>
      <c r="J175" s="15" t="n">
        <v>1.00218918461003</v>
      </c>
      <c r="K175" s="2" t="s">
        <v>692</v>
      </c>
    </row>
    <row r="176" customFormat="false" ht="68.65" hidden="false" customHeight="false" outlineLevel="0" collapsed="false">
      <c r="A176" s="5" t="s">
        <v>709</v>
      </c>
      <c r="B176" s="2" t="s">
        <v>251</v>
      </c>
      <c r="C176" s="5" t="s">
        <v>642</v>
      </c>
      <c r="D176" s="11" t="n">
        <v>0.75</v>
      </c>
      <c r="E176" s="11" t="n">
        <v>-0.00256137273724355</v>
      </c>
      <c r="F176" s="11" t="n">
        <v>-0.00256137273724355</v>
      </c>
      <c r="G176" s="11" t="n">
        <v>0.160688949906817</v>
      </c>
      <c r="H176" s="11" t="n">
        <v>0</v>
      </c>
      <c r="I176" s="11" t="n">
        <v>-0.00284556442314954</v>
      </c>
      <c r="J176" s="15" t="n">
        <v>1.00547940986199</v>
      </c>
      <c r="K176" s="2" t="s">
        <v>692</v>
      </c>
    </row>
    <row r="177" customFormat="false" ht="68.65" hidden="false" customHeight="false" outlineLevel="0" collapsed="false">
      <c r="A177" s="5" t="s">
        <v>709</v>
      </c>
      <c r="B177" s="2" t="s">
        <v>251</v>
      </c>
      <c r="C177" s="5" t="s">
        <v>642</v>
      </c>
      <c r="D177" s="11" t="n">
        <v>0.5</v>
      </c>
      <c r="E177" s="11" t="n">
        <v>-0.00511226225124872</v>
      </c>
      <c r="F177" s="11" t="n">
        <v>-0.00511226225124872</v>
      </c>
      <c r="G177" s="11" t="n">
        <v>0.343618879854787</v>
      </c>
      <c r="H177" s="11" t="n">
        <v>0</v>
      </c>
      <c r="I177" s="11" t="n">
        <v>-0.00567867565513036</v>
      </c>
      <c r="J177" s="15" t="n">
        <v>1.01098029767577</v>
      </c>
      <c r="K177" s="2" t="s">
        <v>704</v>
      </c>
    </row>
    <row r="178" customFormat="false" ht="68.65" hidden="false" customHeight="false" outlineLevel="0" collapsed="false">
      <c r="A178" s="5" t="s">
        <v>709</v>
      </c>
      <c r="B178" s="2" t="s">
        <v>251</v>
      </c>
      <c r="C178" s="5" t="s">
        <v>642</v>
      </c>
      <c r="D178" s="11" t="n">
        <v>0.25</v>
      </c>
      <c r="E178" s="11" t="n">
        <v>-0.00765269257635248</v>
      </c>
      <c r="F178" s="11" t="n">
        <v>-0.00765269257635248</v>
      </c>
      <c r="G178" s="11" t="n">
        <v>0.568055746268476</v>
      </c>
      <c r="H178" s="11" t="n">
        <v>0</v>
      </c>
      <c r="I178" s="11" t="n">
        <v>-0.00849936848133015</v>
      </c>
      <c r="J178" s="15" t="n">
        <v>1.01650263674967</v>
      </c>
      <c r="K178" s="2" t="s">
        <v>702</v>
      </c>
    </row>
    <row r="179" customFormat="false" ht="68.65" hidden="false" customHeight="false" outlineLevel="0" collapsed="false">
      <c r="A179" s="5" t="s">
        <v>709</v>
      </c>
      <c r="B179" s="2" t="s">
        <v>251</v>
      </c>
      <c r="C179" s="5" t="s">
        <v>642</v>
      </c>
      <c r="D179" s="11" t="n">
        <v>0.1</v>
      </c>
      <c r="E179" s="11" t="n">
        <v>-0.00917194062827087</v>
      </c>
      <c r="F179" s="11" t="n">
        <v>-0.00917194062827087</v>
      </c>
      <c r="G179" s="11" t="n">
        <v>0.751115244170519</v>
      </c>
      <c r="H179" s="11" t="n">
        <v>0</v>
      </c>
      <c r="I179" s="11" t="n">
        <v>-0.0101858380988134</v>
      </c>
      <c r="J179" s="15" t="n">
        <v>1.01982632572967</v>
      </c>
      <c r="K179" s="2" t="s">
        <v>752</v>
      </c>
    </row>
    <row r="180" customFormat="false" ht="68.65" hidden="false" customHeight="false" outlineLevel="0" collapsed="false">
      <c r="A180" s="5" t="s">
        <v>709</v>
      </c>
      <c r="B180" s="2" t="s">
        <v>251</v>
      </c>
      <c r="C180" s="5" t="s">
        <v>642</v>
      </c>
      <c r="D180" s="11" t="n">
        <v>0.05</v>
      </c>
      <c r="E180" s="11" t="n">
        <v>-0.0096775228177286</v>
      </c>
      <c r="F180" s="11" t="n">
        <v>-0.0096775228177286</v>
      </c>
      <c r="G180" s="11" t="n">
        <v>0.835881084352057</v>
      </c>
      <c r="H180" s="11" t="n">
        <v>0</v>
      </c>
      <c r="I180" s="11" t="n">
        <v>-0.01074700533895</v>
      </c>
      <c r="J180" s="15" t="n">
        <v>1.02093593501126</v>
      </c>
      <c r="K180" s="2" t="s">
        <v>694</v>
      </c>
    </row>
    <row r="181" customFormat="false" ht="68.65" hidden="false" customHeight="false" outlineLevel="0" collapsed="false">
      <c r="A181" s="5" t="s">
        <v>709</v>
      </c>
      <c r="B181" s="2" t="s">
        <v>251</v>
      </c>
      <c r="C181" s="5" t="s">
        <v>645</v>
      </c>
      <c r="D181" s="11" t="n">
        <v>0.9</v>
      </c>
      <c r="E181" s="11" t="n">
        <v>-0.00172830633229082</v>
      </c>
      <c r="F181" s="11" t="n">
        <v>-0.00172830633229082</v>
      </c>
      <c r="G181" s="11" t="n">
        <v>0.062882037606651</v>
      </c>
      <c r="H181" s="11" t="n">
        <v>0</v>
      </c>
      <c r="I181" s="11" t="n">
        <v>2.22044604925031E-016</v>
      </c>
      <c r="J181" s="15" t="n">
        <v>1.00369244996339</v>
      </c>
      <c r="K181" s="2" t="s">
        <v>692</v>
      </c>
    </row>
    <row r="182" customFormat="false" ht="68.65" hidden="false" customHeight="false" outlineLevel="0" collapsed="false">
      <c r="A182" s="5" t="s">
        <v>709</v>
      </c>
      <c r="B182" s="2" t="s">
        <v>251</v>
      </c>
      <c r="C182" s="5" t="s">
        <v>645</v>
      </c>
      <c r="D182" s="11" t="n">
        <v>0.75</v>
      </c>
      <c r="E182" s="11" t="n">
        <v>-0.00430532950258167</v>
      </c>
      <c r="F182" s="11" t="n">
        <v>-0.00430532950258167</v>
      </c>
      <c r="G182" s="11" t="n">
        <v>0.162156430856548</v>
      </c>
      <c r="H182" s="11" t="n">
        <v>0</v>
      </c>
      <c r="I182" s="11" t="n">
        <v>0</v>
      </c>
      <c r="J182" s="15" t="n">
        <v>1.00923541468273</v>
      </c>
      <c r="K182" s="2" t="s">
        <v>704</v>
      </c>
    </row>
    <row r="183" customFormat="false" ht="68.65" hidden="false" customHeight="false" outlineLevel="0" collapsed="false">
      <c r="A183" s="5" t="s">
        <v>709</v>
      </c>
      <c r="B183" s="2" t="s">
        <v>251</v>
      </c>
      <c r="C183" s="5" t="s">
        <v>645</v>
      </c>
      <c r="D183" s="11" t="n">
        <v>0.5</v>
      </c>
      <c r="E183" s="11" t="n">
        <v>-0.0085597283494494</v>
      </c>
      <c r="F183" s="11" t="n">
        <v>-0.0085597283494494</v>
      </c>
      <c r="G183" s="11" t="n">
        <v>0.345893359249136</v>
      </c>
      <c r="H183" s="11" t="n">
        <v>0</v>
      </c>
      <c r="I183" s="11" t="n">
        <v>0</v>
      </c>
      <c r="J183" s="15" t="n">
        <v>1.01848506113722</v>
      </c>
      <c r="K183" s="2" t="s">
        <v>698</v>
      </c>
    </row>
    <row r="184" customFormat="false" ht="68.65" hidden="false" customHeight="false" outlineLevel="0" collapsed="false">
      <c r="A184" s="5" t="s">
        <v>709</v>
      </c>
      <c r="B184" s="2" t="s">
        <v>251</v>
      </c>
      <c r="C184" s="5" t="s">
        <v>645</v>
      </c>
      <c r="D184" s="11" t="n">
        <v>0.25</v>
      </c>
      <c r="E184" s="11" t="n">
        <v>-0.0127641655168349</v>
      </c>
      <c r="F184" s="11" t="n">
        <v>-0.0127641655168349</v>
      </c>
      <c r="G184" s="11" t="n">
        <v>0.570280644092281</v>
      </c>
      <c r="H184" s="11" t="n">
        <v>0</v>
      </c>
      <c r="I184" s="11" t="n">
        <v>2.22044604925031E-016</v>
      </c>
      <c r="J184" s="15" t="n">
        <v>1.0277488219238</v>
      </c>
      <c r="K184" s="2" t="s">
        <v>750</v>
      </c>
    </row>
    <row r="185" customFormat="false" ht="68.65" hidden="false" customHeight="false" outlineLevel="0" collapsed="false">
      <c r="A185" s="5" t="s">
        <v>709</v>
      </c>
      <c r="B185" s="2" t="s">
        <v>251</v>
      </c>
      <c r="C185" s="5" t="s">
        <v>645</v>
      </c>
      <c r="D185" s="11" t="n">
        <v>0.1</v>
      </c>
      <c r="E185" s="11" t="n">
        <v>-0.0152632400540536</v>
      </c>
      <c r="F185" s="11" t="n">
        <v>-0.0152632400540536</v>
      </c>
      <c r="G185" s="11" t="n">
        <v>0.752645309408307</v>
      </c>
      <c r="H185" s="11" t="n">
        <v>0</v>
      </c>
      <c r="I185" s="11" t="n">
        <v>0</v>
      </c>
      <c r="J185" s="15" t="n">
        <v>1.0333138055599</v>
      </c>
      <c r="K185" s="2" t="s">
        <v>696</v>
      </c>
    </row>
    <row r="186" customFormat="false" ht="68.65" hidden="false" customHeight="false" outlineLevel="0" collapsed="false">
      <c r="A186" s="5" t="s">
        <v>709</v>
      </c>
      <c r="B186" s="2" t="s">
        <v>251</v>
      </c>
      <c r="C186" s="5" t="s">
        <v>645</v>
      </c>
      <c r="D186" s="11" t="n">
        <v>0.05</v>
      </c>
      <c r="E186" s="11" t="n">
        <v>-0.0160923782191469</v>
      </c>
      <c r="F186" s="11" t="n">
        <v>-0.0160923782191469</v>
      </c>
      <c r="G186" s="11" t="n">
        <v>0.836944171514851</v>
      </c>
      <c r="H186" s="11" t="n">
        <v>0</v>
      </c>
      <c r="I186" s="11" t="n">
        <v>0</v>
      </c>
      <c r="J186" s="15" t="n">
        <v>1.03516991584929</v>
      </c>
      <c r="K186" s="2" t="s">
        <v>696</v>
      </c>
    </row>
    <row r="187" customFormat="false" ht="35.05" hidden="false" customHeight="false" outlineLevel="0" collapsed="false">
      <c r="A187" s="5" t="s">
        <v>709</v>
      </c>
      <c r="B187" s="2" t="s">
        <v>707</v>
      </c>
      <c r="C187" s="5" t="s">
        <v>642</v>
      </c>
      <c r="D187" s="11" t="n">
        <v>0.9</v>
      </c>
      <c r="E187" s="11" t="n">
        <v>-0.0904674239170378</v>
      </c>
      <c r="F187" s="11" t="n">
        <v>-0.0904674239170378</v>
      </c>
      <c r="I187" s="11" t="n">
        <v>-0.1</v>
      </c>
      <c r="L187" s="2" t="s">
        <v>708</v>
      </c>
    </row>
    <row r="188" customFormat="false" ht="35.05" hidden="false" customHeight="false" outlineLevel="0" collapsed="false">
      <c r="A188" s="5" t="s">
        <v>709</v>
      </c>
      <c r="B188" s="2" t="s">
        <v>707</v>
      </c>
      <c r="C188" s="5" t="s">
        <v>642</v>
      </c>
      <c r="D188" s="11" t="n">
        <v>0.75</v>
      </c>
      <c r="E188" s="11" t="n">
        <v>-0.22811049327643</v>
      </c>
      <c r="F188" s="11" t="n">
        <v>-0.22811049327643</v>
      </c>
      <c r="I188" s="11" t="n">
        <v>-0.25</v>
      </c>
      <c r="L188" s="2" t="s">
        <v>708</v>
      </c>
    </row>
    <row r="189" customFormat="false" ht="35.05" hidden="false" customHeight="false" outlineLevel="0" collapsed="false">
      <c r="A189" s="5" t="s">
        <v>709</v>
      </c>
      <c r="B189" s="2" t="s">
        <v>707</v>
      </c>
      <c r="C189" s="5" t="s">
        <v>642</v>
      </c>
      <c r="D189" s="11" t="n">
        <v>0.5</v>
      </c>
      <c r="E189" s="11" t="n">
        <v>-0.464113268731853</v>
      </c>
      <c r="F189" s="11" t="n">
        <v>-0.464113268731853</v>
      </c>
      <c r="I189" s="11" t="n">
        <v>-0.5</v>
      </c>
      <c r="L189" s="2" t="s">
        <v>708</v>
      </c>
    </row>
    <row r="190" customFormat="false" ht="35.05" hidden="false" customHeight="false" outlineLevel="0" collapsed="false">
      <c r="A190" s="5" t="s">
        <v>709</v>
      </c>
      <c r="B190" s="2" t="s">
        <v>707</v>
      </c>
      <c r="C190" s="5" t="s">
        <v>642</v>
      </c>
      <c r="D190" s="11" t="n">
        <v>0.25</v>
      </c>
      <c r="E190" s="11" t="n">
        <v>-0.712825411250741</v>
      </c>
      <c r="F190" s="11" t="n">
        <v>-0.712825411250741</v>
      </c>
      <c r="I190" s="11" t="n">
        <v>-0.75</v>
      </c>
      <c r="L190" s="2" t="s">
        <v>708</v>
      </c>
    </row>
    <row r="191" customFormat="false" ht="35.05" hidden="false" customHeight="false" outlineLevel="0" collapsed="false">
      <c r="A191" s="5" t="s">
        <v>709</v>
      </c>
      <c r="B191" s="2" t="s">
        <v>707</v>
      </c>
      <c r="C191" s="5" t="s">
        <v>642</v>
      </c>
      <c r="D191" s="11" t="n">
        <v>0.1</v>
      </c>
      <c r="E191" s="11" t="n">
        <v>-0.874107458820583</v>
      </c>
      <c r="F191" s="11" t="n">
        <v>-0.874107458820583</v>
      </c>
      <c r="I191" s="11" t="n">
        <v>-0.9</v>
      </c>
      <c r="L191" s="2" t="s">
        <v>708</v>
      </c>
    </row>
    <row r="192" customFormat="false" ht="35.05" hidden="false" customHeight="false" outlineLevel="0" collapsed="false">
      <c r="A192" s="5" t="s">
        <v>709</v>
      </c>
      <c r="B192" s="2" t="s">
        <v>707</v>
      </c>
      <c r="C192" s="5" t="s">
        <v>645</v>
      </c>
      <c r="D192" s="11" t="n">
        <v>0.9</v>
      </c>
      <c r="E192" s="11" t="n">
        <v>-1</v>
      </c>
      <c r="F192" s="11" t="n">
        <v>-1</v>
      </c>
      <c r="I192" s="11" t="n">
        <v>-0.1</v>
      </c>
      <c r="L192" s="2" t="s">
        <v>708</v>
      </c>
    </row>
    <row r="193" customFormat="false" ht="35.05" hidden="false" customHeight="false" outlineLevel="0" collapsed="false">
      <c r="A193" s="5" t="s">
        <v>709</v>
      </c>
      <c r="B193" s="2" t="s">
        <v>707</v>
      </c>
      <c r="C193" s="5" t="s">
        <v>645</v>
      </c>
      <c r="D193" s="11" t="n">
        <v>0.75</v>
      </c>
      <c r="E193" s="11" t="n">
        <v>-1</v>
      </c>
      <c r="F193" s="11" t="n">
        <v>-1</v>
      </c>
      <c r="I193" s="11" t="n">
        <v>-0.25</v>
      </c>
      <c r="L193" s="2" t="s">
        <v>708</v>
      </c>
    </row>
    <row r="194" customFormat="false" ht="35.05" hidden="false" customHeight="false" outlineLevel="0" collapsed="false">
      <c r="A194" s="5" t="s">
        <v>709</v>
      </c>
      <c r="B194" s="2" t="s">
        <v>707</v>
      </c>
      <c r="C194" s="5" t="s">
        <v>645</v>
      </c>
      <c r="D194" s="11" t="n">
        <v>0.5</v>
      </c>
      <c r="E194" s="11" t="n">
        <v>-1</v>
      </c>
      <c r="F194" s="11" t="n">
        <v>-1</v>
      </c>
      <c r="I194" s="11" t="n">
        <v>-0.5</v>
      </c>
      <c r="L194" s="2" t="s">
        <v>708</v>
      </c>
    </row>
    <row r="195" customFormat="false" ht="35.05" hidden="false" customHeight="false" outlineLevel="0" collapsed="false">
      <c r="A195" s="5" t="s">
        <v>709</v>
      </c>
      <c r="B195" s="2" t="s">
        <v>707</v>
      </c>
      <c r="C195" s="5" t="s">
        <v>645</v>
      </c>
      <c r="D195" s="11" t="n">
        <v>0.25</v>
      </c>
      <c r="E195" s="11" t="n">
        <v>-1</v>
      </c>
      <c r="F195" s="11" t="n">
        <v>-1</v>
      </c>
      <c r="I195" s="11" t="n">
        <v>-0.75</v>
      </c>
      <c r="L195" s="2" t="s">
        <v>708</v>
      </c>
    </row>
    <row r="196" customFormat="false" ht="35.05" hidden="false" customHeight="false" outlineLevel="0" collapsed="false">
      <c r="A196" s="5" t="s">
        <v>709</v>
      </c>
      <c r="B196" s="2" t="s">
        <v>707</v>
      </c>
      <c r="C196" s="5" t="s">
        <v>645</v>
      </c>
      <c r="D196" s="11" t="n">
        <v>0.1</v>
      </c>
      <c r="E196" s="11" t="n">
        <v>-1</v>
      </c>
      <c r="F196" s="11" t="n">
        <v>-1</v>
      </c>
      <c r="I196" s="11" t="n">
        <v>-0.9</v>
      </c>
      <c r="L196" s="2" t="s">
        <v>708</v>
      </c>
    </row>
    <row r="197" customFormat="false" ht="15" hidden="false" customHeight="false" outlineLevel="0" collapsed="false">
      <c r="A197" s="5" t="s">
        <v>753</v>
      </c>
      <c r="B197" s="2" t="s">
        <v>352</v>
      </c>
      <c r="C197" s="5" t="s">
        <v>642</v>
      </c>
      <c r="D197" s="11" t="n">
        <v>0.9</v>
      </c>
      <c r="E197" s="11" t="n">
        <v>-0.0232935376093957</v>
      </c>
      <c r="F197" s="11" t="n">
        <v>-0.0232935376093957</v>
      </c>
      <c r="G197" s="11" t="n">
        <v>0.120964183848456</v>
      </c>
      <c r="H197" s="11" t="n">
        <v>0</v>
      </c>
      <c r="I197" s="11" t="n">
        <v>-0.0290316436965888</v>
      </c>
      <c r="J197" s="15" t="n">
        <v>1.02811638588275</v>
      </c>
    </row>
    <row r="198" customFormat="false" ht="15" hidden="false" customHeight="false" outlineLevel="0" collapsed="false">
      <c r="A198" s="5" t="s">
        <v>753</v>
      </c>
      <c r="B198" s="2" t="s">
        <v>352</v>
      </c>
      <c r="C198" s="5" t="s">
        <v>642</v>
      </c>
      <c r="D198" s="11" t="n">
        <v>0.75</v>
      </c>
      <c r="E198" s="11" t="n">
        <v>-0.0576655879903734</v>
      </c>
      <c r="F198" s="11" t="n">
        <v>-0.0576655879903734</v>
      </c>
      <c r="G198" s="11" t="n">
        <v>0.29324919099278</v>
      </c>
      <c r="H198" s="11" t="n">
        <v>0</v>
      </c>
      <c r="I198" s="11" t="n">
        <v>-0.0715547180486641</v>
      </c>
      <c r="J198" s="15" t="n">
        <v>1.07237578547891</v>
      </c>
    </row>
    <row r="199" customFormat="false" ht="15" hidden="false" customHeight="false" outlineLevel="0" collapsed="false">
      <c r="A199" s="5" t="s">
        <v>753</v>
      </c>
      <c r="B199" s="2" t="s">
        <v>352</v>
      </c>
      <c r="C199" s="5" t="s">
        <v>642</v>
      </c>
      <c r="D199" s="11" t="n">
        <v>0.5</v>
      </c>
      <c r="E199" s="11" t="n">
        <v>-0.113307612097787</v>
      </c>
      <c r="F199" s="11" t="n">
        <v>-0.113307612097787</v>
      </c>
      <c r="G199" s="11" t="n">
        <v>0.556653806048894</v>
      </c>
      <c r="H199" s="11" t="n">
        <v>0</v>
      </c>
      <c r="I199" s="11" t="n">
        <v>-0.139568650875501</v>
      </c>
      <c r="J199" s="15" t="n">
        <v>1.15197632251014</v>
      </c>
    </row>
    <row r="200" customFormat="false" ht="15" hidden="false" customHeight="false" outlineLevel="0" collapsed="false">
      <c r="A200" s="5" t="s">
        <v>753</v>
      </c>
      <c r="B200" s="2" t="s">
        <v>352</v>
      </c>
      <c r="C200" s="5" t="s">
        <v>642</v>
      </c>
      <c r="D200" s="11" t="n">
        <v>0.25</v>
      </c>
      <c r="E200" s="11" t="n">
        <v>-0.166690680126884</v>
      </c>
      <c r="F200" s="11" t="n">
        <v>-0.166690680126884</v>
      </c>
      <c r="G200" s="11" t="n">
        <v>0.791672670031721</v>
      </c>
      <c r="H200" s="11" t="n">
        <v>0</v>
      </c>
      <c r="I200" s="11" t="n">
        <v>-0.203826352419073</v>
      </c>
      <c r="J200" s="15" t="n">
        <v>1.23927911415981</v>
      </c>
    </row>
    <row r="201" customFormat="false" ht="15" hidden="false" customHeight="false" outlineLevel="0" collapsed="false">
      <c r="A201" s="5" t="s">
        <v>753</v>
      </c>
      <c r="B201" s="2" t="s">
        <v>352</v>
      </c>
      <c r="C201" s="5" t="s">
        <v>642</v>
      </c>
      <c r="D201" s="11" t="n">
        <v>0.1</v>
      </c>
      <c r="E201" s="11" t="n">
        <v>-0.197545427332348</v>
      </c>
      <c r="F201" s="11" t="n">
        <v>-0.197545427332348</v>
      </c>
      <c r="G201" s="11" t="n">
        <v>0.919754542733235</v>
      </c>
      <c r="H201" s="11" t="n">
        <v>0</v>
      </c>
      <c r="I201" s="11" t="n">
        <v>-0.240503861374476</v>
      </c>
      <c r="J201" s="15" t="n">
        <v>1.29552716003209</v>
      </c>
    </row>
    <row r="202" customFormat="false" ht="15" hidden="false" customHeight="false" outlineLevel="0" collapsed="false">
      <c r="A202" s="5" t="s">
        <v>753</v>
      </c>
      <c r="B202" s="2" t="s">
        <v>352</v>
      </c>
      <c r="C202" s="5" t="s">
        <v>645</v>
      </c>
      <c r="D202" s="11" t="n">
        <v>0.9</v>
      </c>
      <c r="E202" s="11" t="n">
        <v>-0.0670057565480042</v>
      </c>
      <c r="F202" s="11" t="n">
        <v>-0.0670057565480042</v>
      </c>
      <c r="G202" s="11" t="n">
        <v>0.160305180893204</v>
      </c>
      <c r="H202" s="11" t="n">
        <v>0</v>
      </c>
      <c r="I202" s="11" t="n">
        <v>0</v>
      </c>
      <c r="J202" s="15" t="n">
        <v>1.08501692503912</v>
      </c>
    </row>
    <row r="203" customFormat="false" ht="15" hidden="false" customHeight="false" outlineLevel="0" collapsed="false">
      <c r="A203" s="5" t="s">
        <v>753</v>
      </c>
      <c r="B203" s="2" t="s">
        <v>352</v>
      </c>
      <c r="C203" s="5" t="s">
        <v>645</v>
      </c>
      <c r="D203" s="11" t="n">
        <v>0.75</v>
      </c>
      <c r="E203" s="11" t="n">
        <v>-0.151479038029267</v>
      </c>
      <c r="F203" s="11" t="n">
        <v>-0.151479038029267</v>
      </c>
      <c r="G203" s="11" t="n">
        <v>0.36360927852195</v>
      </c>
      <c r="H203" s="11" t="n">
        <v>0</v>
      </c>
      <c r="I203" s="11" t="n">
        <v>2.22044604925031E-016</v>
      </c>
      <c r="J203" s="15" t="n">
        <v>1.21318318311915</v>
      </c>
    </row>
    <row r="204" customFormat="false" ht="15" hidden="false" customHeight="false" outlineLevel="0" collapsed="false">
      <c r="A204" s="5" t="s">
        <v>753</v>
      </c>
      <c r="B204" s="2" t="s">
        <v>352</v>
      </c>
      <c r="C204" s="5" t="s">
        <v>645</v>
      </c>
      <c r="D204" s="11" t="n">
        <v>0.5</v>
      </c>
      <c r="E204" s="11" t="n">
        <v>-0.261398835537458</v>
      </c>
      <c r="F204" s="11" t="n">
        <v>-0.261398835537458</v>
      </c>
      <c r="G204" s="11" t="n">
        <v>0.630699417768729</v>
      </c>
      <c r="H204" s="11" t="n">
        <v>0</v>
      </c>
      <c r="I204" s="11" t="n">
        <v>0</v>
      </c>
      <c r="J204" s="15" t="n">
        <v>1.42827481674003</v>
      </c>
    </row>
    <row r="205" customFormat="false" ht="15" hidden="false" customHeight="false" outlineLevel="0" collapsed="false">
      <c r="A205" s="5" t="s">
        <v>753</v>
      </c>
      <c r="B205" s="2" t="s">
        <v>352</v>
      </c>
      <c r="C205" s="5" t="s">
        <v>645</v>
      </c>
      <c r="D205" s="11" t="n">
        <v>0.25</v>
      </c>
      <c r="E205" s="11" t="n">
        <v>-0.344951801721012</v>
      </c>
      <c r="F205" s="11" t="n">
        <v>-0.344951801721012</v>
      </c>
      <c r="G205" s="11" t="n">
        <v>0.836237950430253</v>
      </c>
      <c r="H205" s="11" t="n">
        <v>0</v>
      </c>
      <c r="I205" s="11" t="n">
        <v>0</v>
      </c>
      <c r="J205" s="15" t="n">
        <v>1.64493639645436</v>
      </c>
    </row>
    <row r="206" customFormat="false" ht="15" hidden="false" customHeight="false" outlineLevel="0" collapsed="false">
      <c r="A206" s="5" t="s">
        <v>753</v>
      </c>
      <c r="B206" s="2" t="s">
        <v>352</v>
      </c>
      <c r="C206" s="5" t="s">
        <v>645</v>
      </c>
      <c r="D206" s="11" t="n">
        <v>0.1</v>
      </c>
      <c r="E206" s="11" t="n">
        <v>-0.386153072781806</v>
      </c>
      <c r="F206" s="11" t="n">
        <v>-0.386153072781806</v>
      </c>
      <c r="G206" s="11" t="n">
        <v>0.938615307278181</v>
      </c>
      <c r="H206" s="11" t="n">
        <v>0</v>
      </c>
      <c r="I206" s="11" t="n">
        <v>0</v>
      </c>
      <c r="J206" s="15" t="n">
        <v>1.77558339558613</v>
      </c>
    </row>
    <row r="207" customFormat="false" ht="15" hidden="false" customHeight="false" outlineLevel="0" collapsed="false">
      <c r="A207" s="5" t="s">
        <v>753</v>
      </c>
      <c r="B207" s="2" t="s">
        <v>356</v>
      </c>
      <c r="C207" s="5" t="s">
        <v>642</v>
      </c>
      <c r="D207" s="11" t="n">
        <v>0.9</v>
      </c>
      <c r="E207" s="11" t="n">
        <v>-0.0129473079409028</v>
      </c>
      <c r="F207" s="11" t="n">
        <v>-0.0129473079409028</v>
      </c>
      <c r="G207" s="11" t="n">
        <v>0.102243422261867</v>
      </c>
      <c r="H207" s="11" t="n">
        <v>0</v>
      </c>
      <c r="I207" s="11" t="n">
        <v>-0.0161578570391255</v>
      </c>
      <c r="J207" s="15" t="n">
        <v>1.01544972582626</v>
      </c>
    </row>
    <row r="208" customFormat="false" ht="15" hidden="false" customHeight="false" outlineLevel="0" collapsed="false">
      <c r="A208" s="5" t="s">
        <v>753</v>
      </c>
      <c r="B208" s="2" t="s">
        <v>356</v>
      </c>
      <c r="C208" s="5" t="s">
        <v>642</v>
      </c>
      <c r="D208" s="11" t="n">
        <v>0.75</v>
      </c>
      <c r="E208" s="11" t="n">
        <v>-0.0321695921359728</v>
      </c>
      <c r="F208" s="11" t="n">
        <v>-0.0321695921359728</v>
      </c>
      <c r="G208" s="11" t="n">
        <v>0.252941863881764</v>
      </c>
      <c r="H208" s="11" t="n">
        <v>0</v>
      </c>
      <c r="I208" s="11" t="n">
        <v>-0.0400489706621084</v>
      </c>
      <c r="J208" s="15" t="n">
        <v>1.03921821320823</v>
      </c>
    </row>
    <row r="209" customFormat="false" ht="15" hidden="false" customHeight="false" outlineLevel="0" collapsed="false">
      <c r="A209" s="5" t="s">
        <v>753</v>
      </c>
      <c r="B209" s="2" t="s">
        <v>356</v>
      </c>
      <c r="C209" s="5" t="s">
        <v>642</v>
      </c>
      <c r="D209" s="11" t="n">
        <v>0.5</v>
      </c>
      <c r="E209" s="11" t="n">
        <v>-0.0636571453123509</v>
      </c>
      <c r="F209" s="11" t="n">
        <v>-0.0636571453123509</v>
      </c>
      <c r="G209" s="11" t="n">
        <v>0.498226288255151</v>
      </c>
      <c r="H209" s="11" t="n">
        <v>0</v>
      </c>
      <c r="I209" s="11" t="n">
        <v>-0.0789279031983878</v>
      </c>
      <c r="J209" s="15" t="n">
        <v>1.08045329723823</v>
      </c>
    </row>
    <row r="210" customFormat="false" ht="15" hidden="false" customHeight="false" outlineLevel="0" collapsed="false">
      <c r="A210" s="5" t="s">
        <v>753</v>
      </c>
      <c r="B210" s="2" t="s">
        <v>356</v>
      </c>
      <c r="C210" s="5" t="s">
        <v>642</v>
      </c>
      <c r="D210" s="11" t="n">
        <v>0.25</v>
      </c>
      <c r="E210" s="11" t="n">
        <v>-0.094426655132795</v>
      </c>
      <c r="F210" s="11" t="n">
        <v>-0.094426655132795</v>
      </c>
      <c r="G210" s="11" t="n">
        <v>0.73994234710547</v>
      </c>
      <c r="H210" s="11" t="n">
        <v>0</v>
      </c>
      <c r="I210" s="11" t="n">
        <v>-0.116605810303668</v>
      </c>
      <c r="J210" s="15" t="n">
        <v>1.12377167517126</v>
      </c>
    </row>
    <row r="211" customFormat="false" ht="15" hidden="false" customHeight="false" outlineLevel="0" collapsed="false">
      <c r="A211" s="5" t="s">
        <v>753</v>
      </c>
      <c r="B211" s="2" t="s">
        <v>356</v>
      </c>
      <c r="C211" s="5" t="s">
        <v>642</v>
      </c>
      <c r="D211" s="11" t="n">
        <v>0.1</v>
      </c>
      <c r="E211" s="11" t="n">
        <v>-0.112529481299265</v>
      </c>
      <c r="F211" s="11" t="n">
        <v>-0.112529481299265</v>
      </c>
      <c r="G211" s="11" t="n">
        <v>0.888274081178949</v>
      </c>
      <c r="H211" s="11" t="n">
        <v>0</v>
      </c>
      <c r="I211" s="11" t="n">
        <v>-0.13862469109565</v>
      </c>
      <c r="J211" s="15" t="n">
        <v>1.15078812212474</v>
      </c>
    </row>
    <row r="212" customFormat="false" ht="15" hidden="false" customHeight="false" outlineLevel="0" collapsed="false">
      <c r="A212" s="5" t="s">
        <v>753</v>
      </c>
      <c r="B212" s="2" t="s">
        <v>356</v>
      </c>
      <c r="C212" s="5" t="s">
        <v>645</v>
      </c>
      <c r="D212" s="11" t="n">
        <v>0.9</v>
      </c>
      <c r="E212" s="11" t="n">
        <v>-0.033542261392475</v>
      </c>
      <c r="F212" s="11" t="n">
        <v>-0.033542261392475</v>
      </c>
      <c r="G212" s="11" t="n">
        <v>0.120975203328984</v>
      </c>
      <c r="H212" s="11" t="n">
        <v>0</v>
      </c>
      <c r="I212" s="11" t="n">
        <v>0</v>
      </c>
      <c r="J212" s="15" t="n">
        <v>1.04095491504923</v>
      </c>
    </row>
    <row r="213" customFormat="false" ht="15" hidden="false" customHeight="false" outlineLevel="0" collapsed="false">
      <c r="A213" s="5" t="s">
        <v>753</v>
      </c>
      <c r="B213" s="2" t="s">
        <v>356</v>
      </c>
      <c r="C213" s="5" t="s">
        <v>645</v>
      </c>
      <c r="D213" s="11" t="n">
        <v>0.75</v>
      </c>
      <c r="E213" s="11" t="n">
        <v>-0.0797473885437394</v>
      </c>
      <c r="F213" s="11" t="n">
        <v>-0.0797473885437394</v>
      </c>
      <c r="G213" s="11" t="n">
        <v>0.28966666568195</v>
      </c>
      <c r="H213" s="11" t="n">
        <v>0</v>
      </c>
      <c r="I213" s="11" t="n">
        <v>2.22044604925031E-016</v>
      </c>
      <c r="J213" s="15" t="n">
        <v>1.10271246556678</v>
      </c>
    </row>
    <row r="214" customFormat="false" ht="15" hidden="false" customHeight="false" outlineLevel="0" collapsed="false">
      <c r="A214" s="5" t="s">
        <v>753</v>
      </c>
      <c r="B214" s="2" t="s">
        <v>356</v>
      </c>
      <c r="C214" s="5" t="s">
        <v>645</v>
      </c>
      <c r="D214" s="11" t="n">
        <v>0.5</v>
      </c>
      <c r="E214" s="11" t="n">
        <v>-0.147461317762405</v>
      </c>
      <c r="F214" s="11" t="n">
        <v>-0.147461317762405</v>
      </c>
      <c r="G214" s="11" t="n">
        <v>0.543135832296042</v>
      </c>
      <c r="H214" s="11" t="n">
        <v>0</v>
      </c>
      <c r="I214" s="11" t="n">
        <v>0</v>
      </c>
      <c r="J214" s="15" t="n">
        <v>1.20645973284679</v>
      </c>
    </row>
    <row r="215" customFormat="false" ht="15" hidden="false" customHeight="false" outlineLevel="0" collapsed="false">
      <c r="A215" s="5" t="s">
        <v>753</v>
      </c>
      <c r="B215" s="2" t="s">
        <v>356</v>
      </c>
      <c r="C215" s="5" t="s">
        <v>645</v>
      </c>
      <c r="D215" s="11" t="n">
        <v>0.25</v>
      </c>
      <c r="E215" s="11" t="n">
        <v>-0.205684662283518</v>
      </c>
      <c r="F215" s="11" t="n">
        <v>-0.205684662283518</v>
      </c>
      <c r="G215" s="11" t="n">
        <v>0.771892819554041</v>
      </c>
      <c r="H215" s="11" t="n">
        <v>0</v>
      </c>
      <c r="I215" s="11" t="n">
        <v>0</v>
      </c>
      <c r="J215" s="15" t="n">
        <v>1.31115898263685</v>
      </c>
    </row>
    <row r="216" customFormat="false" ht="15" hidden="false" customHeight="false" outlineLevel="0" collapsed="false">
      <c r="A216" s="5" t="s">
        <v>753</v>
      </c>
      <c r="B216" s="2" t="s">
        <v>356</v>
      </c>
      <c r="C216" s="5" t="s">
        <v>645</v>
      </c>
      <c r="D216" s="11" t="n">
        <v>0.1</v>
      </c>
      <c r="E216" s="11" t="n">
        <v>-0.236863346750069</v>
      </c>
      <c r="F216" s="11" t="n">
        <v>-0.236863346750069</v>
      </c>
      <c r="G216" s="11" t="n">
        <v>0.903926787455211</v>
      </c>
      <c r="H216" s="11" t="n">
        <v>0</v>
      </c>
      <c r="I216" s="11" t="n">
        <v>0</v>
      </c>
      <c r="J216" s="15" t="n">
        <v>1.37440563082987</v>
      </c>
    </row>
    <row r="217" customFormat="false" ht="15" hidden="false" customHeight="false" outlineLevel="0" collapsed="false">
      <c r="A217" s="5" t="s">
        <v>753</v>
      </c>
      <c r="B217" s="2" t="s">
        <v>360</v>
      </c>
      <c r="C217" s="5" t="s">
        <v>642</v>
      </c>
      <c r="D217" s="11" t="n">
        <v>0.9</v>
      </c>
      <c r="E217" s="11" t="n">
        <v>-0.0122717008042741</v>
      </c>
      <c r="F217" s="11" t="n">
        <v>-0.0122717008042741</v>
      </c>
      <c r="G217" s="11" t="n">
        <v>0.0968838058735721</v>
      </c>
      <c r="H217" s="11" t="n">
        <v>0</v>
      </c>
      <c r="I217" s="11" t="n">
        <v>-0.0153160230129861</v>
      </c>
      <c r="J217" s="15" t="n">
        <v>1.01381412291527</v>
      </c>
    </row>
    <row r="218" customFormat="false" ht="15" hidden="false" customHeight="false" outlineLevel="0" collapsed="false">
      <c r="A218" s="5" t="s">
        <v>753</v>
      </c>
      <c r="B218" s="2" t="s">
        <v>360</v>
      </c>
      <c r="C218" s="5" t="s">
        <v>642</v>
      </c>
      <c r="D218" s="11" t="n">
        <v>0.75</v>
      </c>
      <c r="E218" s="11" t="n">
        <v>-0.03050404421444</v>
      </c>
      <c r="F218" s="11" t="n">
        <v>-0.03050404421444</v>
      </c>
      <c r="G218" s="11" t="n">
        <v>0.240814201196045</v>
      </c>
      <c r="H218" s="11" t="n">
        <v>0</v>
      </c>
      <c r="I218" s="11" t="n">
        <v>-0.037983541360097</v>
      </c>
      <c r="J218" s="15" t="n">
        <v>1.03502034566187</v>
      </c>
    </row>
    <row r="219" customFormat="false" ht="15" hidden="false" customHeight="false" outlineLevel="0" collapsed="false">
      <c r="A219" s="5" t="s">
        <v>753</v>
      </c>
      <c r="B219" s="2" t="s">
        <v>360</v>
      </c>
      <c r="C219" s="5" t="s">
        <v>642</v>
      </c>
      <c r="D219" s="11" t="n">
        <v>0.5</v>
      </c>
      <c r="E219" s="11" t="n">
        <v>-0.0604074000727701</v>
      </c>
      <c r="F219" s="11" t="n">
        <v>-0.0604074000727701</v>
      </c>
      <c r="G219" s="11" t="n">
        <v>0.478728367469945</v>
      </c>
      <c r="H219" s="11" t="n">
        <v>0</v>
      </c>
      <c r="I219" s="11" t="n">
        <v>-0.0749302394448433</v>
      </c>
      <c r="J219" s="15" t="n">
        <v>1.07168493264038</v>
      </c>
    </row>
    <row r="220" customFormat="false" ht="15" hidden="false" customHeight="false" outlineLevel="0" collapsed="false">
      <c r="A220" s="5" t="s">
        <v>753</v>
      </c>
      <c r="B220" s="2" t="s">
        <v>360</v>
      </c>
      <c r="C220" s="5" t="s">
        <v>642</v>
      </c>
      <c r="D220" s="11" t="n">
        <v>0.3</v>
      </c>
      <c r="E220" s="11" t="n">
        <v>-0.0838770754592044</v>
      </c>
      <c r="F220" s="11" t="n">
        <v>-0.0838770754592044</v>
      </c>
      <c r="G220" s="11" t="n">
        <v>0.670764378538269</v>
      </c>
      <c r="H220" s="11" t="n">
        <v>0</v>
      </c>
      <c r="I220" s="11" t="n">
        <v>-0.103723130649668</v>
      </c>
      <c r="J220" s="15" t="n">
        <v>1.10223350983185</v>
      </c>
    </row>
    <row r="221" customFormat="false" ht="15" hidden="false" customHeight="false" outlineLevel="0" collapsed="false">
      <c r="A221" s="5" t="s">
        <v>753</v>
      </c>
      <c r="B221" s="2" t="s">
        <v>360</v>
      </c>
      <c r="C221" s="5" t="s">
        <v>645</v>
      </c>
      <c r="D221" s="11" t="n">
        <v>0.9</v>
      </c>
      <c r="E221" s="11" t="n">
        <v>-0.0318748345333122</v>
      </c>
      <c r="F221" s="11" t="n">
        <v>-0.0318748345333122</v>
      </c>
      <c r="G221" s="11" t="n">
        <v>0.114807669693953</v>
      </c>
      <c r="H221" s="11" t="n">
        <v>0</v>
      </c>
      <c r="I221" s="11" t="n">
        <v>2.22044604925031E-016</v>
      </c>
      <c r="J221" s="15" t="n">
        <v>1.03664881671698</v>
      </c>
    </row>
    <row r="222" customFormat="false" ht="15" hidden="false" customHeight="false" outlineLevel="0" collapsed="false">
      <c r="A222" s="5" t="s">
        <v>753</v>
      </c>
      <c r="B222" s="2" t="s">
        <v>360</v>
      </c>
      <c r="C222" s="5" t="s">
        <v>645</v>
      </c>
      <c r="D222" s="11" t="n">
        <v>0.75</v>
      </c>
      <c r="E222" s="11" t="n">
        <v>-0.0760106231134696</v>
      </c>
      <c r="F222" s="11" t="n">
        <v>-0.0760106231134696</v>
      </c>
      <c r="G222" s="11" t="n">
        <v>0.276449160007504</v>
      </c>
      <c r="H222" s="11" t="n">
        <v>0</v>
      </c>
      <c r="I222" s="11" t="n">
        <v>2.22044604925031E-016</v>
      </c>
      <c r="J222" s="15" t="n">
        <v>1.09181184603801</v>
      </c>
    </row>
    <row r="223" customFormat="false" ht="15" hidden="false" customHeight="false" outlineLevel="0" collapsed="false">
      <c r="A223" s="5" t="s">
        <v>753</v>
      </c>
      <c r="B223" s="2" t="s">
        <v>360</v>
      </c>
      <c r="C223" s="5" t="s">
        <v>645</v>
      </c>
      <c r="D223" s="11" t="n">
        <v>0.5</v>
      </c>
      <c r="E223" s="11" t="n">
        <v>-0.141168247945805</v>
      </c>
      <c r="F223" s="11" t="n">
        <v>-0.141168247945805</v>
      </c>
      <c r="G223" s="11" t="n">
        <v>0.523533253139062</v>
      </c>
      <c r="H223" s="11" t="n">
        <v>0</v>
      </c>
      <c r="I223" s="11" t="n">
        <v>0</v>
      </c>
      <c r="J223" s="15" t="n">
        <v>1.18422834755323</v>
      </c>
    </row>
    <row r="224" customFormat="false" ht="15" hidden="false" customHeight="false" outlineLevel="0" collapsed="false">
      <c r="A224" s="5" t="s">
        <v>753</v>
      </c>
      <c r="B224" s="2" t="s">
        <v>360</v>
      </c>
      <c r="C224" s="5" t="s">
        <v>645</v>
      </c>
      <c r="D224" s="11" t="n">
        <v>0.3</v>
      </c>
      <c r="E224" s="11" t="n">
        <v>-0.186959881118913</v>
      </c>
      <c r="F224" s="11" t="n">
        <v>-0.186959881118913</v>
      </c>
      <c r="G224" s="11" t="n">
        <v>0.707810205767628</v>
      </c>
      <c r="H224" s="11" t="n">
        <v>0</v>
      </c>
      <c r="I224" s="11" t="n">
        <v>2.22044604925031E-016</v>
      </c>
      <c r="J224" s="15" t="n">
        <v>1.25856480309288</v>
      </c>
    </row>
    <row r="225" customFormat="false" ht="15" hidden="false" customHeight="false" outlineLevel="0" collapsed="false">
      <c r="A225" s="5" t="s">
        <v>753</v>
      </c>
      <c r="B225" s="2" t="s">
        <v>363</v>
      </c>
      <c r="C225" s="5" t="s">
        <v>642</v>
      </c>
      <c r="D225" s="11" t="n">
        <v>0.9</v>
      </c>
      <c r="E225" s="11" t="n">
        <v>-0.00266323703953453</v>
      </c>
      <c r="F225" s="11" t="n">
        <v>-0.00266323703953453</v>
      </c>
      <c r="G225" s="11" t="n">
        <v>0.23361304906259</v>
      </c>
      <c r="H225" s="11" t="n">
        <v>0</v>
      </c>
      <c r="I225" s="11" t="n">
        <v>-0.0033279373057441</v>
      </c>
      <c r="J225" s="15" t="n">
        <v>1.00314232651258</v>
      </c>
    </row>
    <row r="226" customFormat="false" ht="15" hidden="false" customHeight="false" outlineLevel="0" collapsed="false">
      <c r="A226" s="5" t="s">
        <v>753</v>
      </c>
      <c r="B226" s="2" t="s">
        <v>363</v>
      </c>
      <c r="C226" s="5" t="s">
        <v>642</v>
      </c>
      <c r="D226" s="11" t="n">
        <v>0.75</v>
      </c>
      <c r="E226" s="11" t="n">
        <v>-0.0066474830866623</v>
      </c>
      <c r="F226" s="11" t="n">
        <v>-0.0066474830866623</v>
      </c>
      <c r="G226" s="11" t="n">
        <v>0.516098960559909</v>
      </c>
      <c r="H226" s="11" t="n">
        <v>0</v>
      </c>
      <c r="I226" s="11" t="n">
        <v>-0.00830243781423357</v>
      </c>
      <c r="J226" s="15" t="n">
        <v>1.00787754351074</v>
      </c>
    </row>
    <row r="227" customFormat="false" ht="15" hidden="false" customHeight="false" outlineLevel="0" collapsed="false">
      <c r="A227" s="5" t="s">
        <v>753</v>
      </c>
      <c r="B227" s="2" t="s">
        <v>363</v>
      </c>
      <c r="C227" s="5" t="s">
        <v>642</v>
      </c>
      <c r="D227" s="11" t="n">
        <v>0.5</v>
      </c>
      <c r="E227" s="11" t="n">
        <v>-0.0132594645464759</v>
      </c>
      <c r="F227" s="11" t="n">
        <v>-0.0132594645464759</v>
      </c>
      <c r="G227" s="11" t="n">
        <v>0.825567269027292</v>
      </c>
      <c r="H227" s="11" t="n">
        <v>0</v>
      </c>
      <c r="I227" s="11" t="n">
        <v>-0.0165467682450278</v>
      </c>
      <c r="J227" s="15" t="n">
        <v>1.01582766436745</v>
      </c>
    </row>
    <row r="228" customFormat="false" ht="15" hidden="false" customHeight="false" outlineLevel="0" collapsed="false">
      <c r="A228" s="5" t="s">
        <v>753</v>
      </c>
      <c r="B228" s="2" t="s">
        <v>363</v>
      </c>
      <c r="C228" s="5" t="s">
        <v>642</v>
      </c>
      <c r="D228" s="11" t="n">
        <v>0.4</v>
      </c>
      <c r="E228" s="11" t="n">
        <v>-0.0158942599777214</v>
      </c>
      <c r="F228" s="11" t="n">
        <v>-0.0158942599777214</v>
      </c>
      <c r="G228" s="11" t="n">
        <v>0.90041550089869</v>
      </c>
      <c r="H228" s="11" t="n">
        <v>0</v>
      </c>
      <c r="I228" s="11" t="n">
        <v>-0.0198281939762064</v>
      </c>
      <c r="J228" s="15" t="n">
        <v>1.01902809748595</v>
      </c>
    </row>
    <row r="229" customFormat="false" ht="15" hidden="false" customHeight="false" outlineLevel="0" collapsed="false">
      <c r="A229" s="5" t="s">
        <v>753</v>
      </c>
      <c r="B229" s="2" t="s">
        <v>363</v>
      </c>
      <c r="C229" s="5" t="s">
        <v>645</v>
      </c>
      <c r="D229" s="11" t="n">
        <v>0.9</v>
      </c>
      <c r="E229" s="11" t="n">
        <v>-0.00592254019557204</v>
      </c>
      <c r="F229" s="11" t="n">
        <v>-0.00592254019557204</v>
      </c>
      <c r="G229" s="11" t="n">
        <v>0.236117606701197</v>
      </c>
      <c r="H229" s="11" t="n">
        <v>0</v>
      </c>
      <c r="I229" s="11" t="n">
        <v>0</v>
      </c>
      <c r="J229" s="15" t="n">
        <v>1.00701288531933</v>
      </c>
    </row>
    <row r="230" customFormat="false" ht="15" hidden="false" customHeight="false" outlineLevel="0" collapsed="false">
      <c r="A230" s="5" t="s">
        <v>753</v>
      </c>
      <c r="B230" s="2" t="s">
        <v>363</v>
      </c>
      <c r="C230" s="5" t="s">
        <v>645</v>
      </c>
      <c r="D230" s="11" t="n">
        <v>0.75</v>
      </c>
      <c r="E230" s="11" t="n">
        <v>-0.0146707020209813</v>
      </c>
      <c r="F230" s="11" t="n">
        <v>-0.0146707020209813</v>
      </c>
      <c r="G230" s="11" t="n">
        <v>0.520007385732109</v>
      </c>
      <c r="H230" s="11" t="n">
        <v>0</v>
      </c>
      <c r="I230" s="11" t="n">
        <v>4.44089209850063E-016</v>
      </c>
      <c r="J230" s="15" t="n">
        <v>1.0175395497087</v>
      </c>
    </row>
    <row r="231" customFormat="false" ht="15" hidden="false" customHeight="false" outlineLevel="0" collapsed="false">
      <c r="A231" s="5" t="s">
        <v>753</v>
      </c>
      <c r="B231" s="2" t="s">
        <v>363</v>
      </c>
      <c r="C231" s="5" t="s">
        <v>645</v>
      </c>
      <c r="D231" s="11" t="n">
        <v>0.5</v>
      </c>
      <c r="E231" s="11" t="n">
        <v>-0.0289002519926074</v>
      </c>
      <c r="F231" s="11" t="n">
        <v>-0.0289002519926074</v>
      </c>
      <c r="G231" s="11" t="n">
        <v>0.828332195743856</v>
      </c>
      <c r="H231" s="11" t="n">
        <v>0</v>
      </c>
      <c r="I231" s="11" t="n">
        <v>0</v>
      </c>
      <c r="J231" s="15" t="n">
        <v>1.03510335437163</v>
      </c>
    </row>
    <row r="232" customFormat="false" ht="15" hidden="false" customHeight="false" outlineLevel="0" collapsed="false">
      <c r="A232" s="5" t="s">
        <v>753</v>
      </c>
      <c r="B232" s="2" t="s">
        <v>363</v>
      </c>
      <c r="C232" s="5" t="s">
        <v>645</v>
      </c>
      <c r="D232" s="11" t="n">
        <v>0.4</v>
      </c>
      <c r="E232" s="11" t="n">
        <v>-0.0344730327288552</v>
      </c>
      <c r="F232" s="11" t="n">
        <v>-0.0344730327288552</v>
      </c>
      <c r="G232" s="11" t="n">
        <v>0.902295540515467</v>
      </c>
      <c r="H232" s="11" t="n">
        <v>0</v>
      </c>
      <c r="I232" s="11" t="n">
        <v>2.22044604925031E-016</v>
      </c>
      <c r="J232" s="15" t="n">
        <v>1.04213558501613</v>
      </c>
    </row>
    <row r="233" customFormat="false" ht="35.05" hidden="false" customHeight="false" outlineLevel="0" collapsed="false">
      <c r="A233" s="5" t="s">
        <v>753</v>
      </c>
      <c r="B233" s="2" t="s">
        <v>707</v>
      </c>
      <c r="C233" s="5" t="s">
        <v>642</v>
      </c>
      <c r="D233" s="11" t="n">
        <v>0.9</v>
      </c>
      <c r="E233" s="11" t="n">
        <v>-0.0808338811598784</v>
      </c>
      <c r="F233" s="11" t="n">
        <v>-0.0808338811598784</v>
      </c>
      <c r="I233" s="11" t="n">
        <v>-0.1</v>
      </c>
      <c r="L233" s="2" t="s">
        <v>708</v>
      </c>
    </row>
    <row r="234" customFormat="false" ht="35.05" hidden="false" customHeight="false" outlineLevel="0" collapsed="false">
      <c r="A234" s="5" t="s">
        <v>753</v>
      </c>
      <c r="B234" s="2" t="s">
        <v>707</v>
      </c>
      <c r="C234" s="5" t="s">
        <v>642</v>
      </c>
      <c r="D234" s="11" t="n">
        <v>0.75</v>
      </c>
      <c r="E234" s="11" t="n">
        <v>-0.205582119213391</v>
      </c>
      <c r="F234" s="11" t="n">
        <v>-0.205582119213391</v>
      </c>
      <c r="I234" s="11" t="n">
        <v>-0.25</v>
      </c>
      <c r="L234" s="2" t="s">
        <v>708</v>
      </c>
    </row>
    <row r="235" customFormat="false" ht="35.05" hidden="false" customHeight="false" outlineLevel="0" collapsed="false">
      <c r="A235" s="5" t="s">
        <v>753</v>
      </c>
      <c r="B235" s="2" t="s">
        <v>707</v>
      </c>
      <c r="C235" s="5" t="s">
        <v>642</v>
      </c>
      <c r="D235" s="11" t="n">
        <v>0.5</v>
      </c>
      <c r="E235" s="11" t="n">
        <v>-0.425650822501483</v>
      </c>
      <c r="F235" s="11" t="n">
        <v>-0.425650822501483</v>
      </c>
      <c r="I235" s="11" t="n">
        <v>-0.5</v>
      </c>
      <c r="L235" s="2" t="s">
        <v>708</v>
      </c>
    </row>
    <row r="236" customFormat="false" ht="35.05" hidden="false" customHeight="false" outlineLevel="0" collapsed="false">
      <c r="A236" s="5" t="s">
        <v>753</v>
      </c>
      <c r="B236" s="2" t="s">
        <v>707</v>
      </c>
      <c r="C236" s="5" t="s">
        <v>642</v>
      </c>
      <c r="D236" s="11" t="n">
        <v>0.25</v>
      </c>
      <c r="E236" s="11" t="n">
        <v>-0.670123022306777</v>
      </c>
      <c r="F236" s="11" t="n">
        <v>-0.670123022306777</v>
      </c>
      <c r="I236" s="11" t="n">
        <v>-0.75</v>
      </c>
      <c r="L236" s="2" t="s">
        <v>708</v>
      </c>
    </row>
    <row r="237" customFormat="false" ht="35.05" hidden="false" customHeight="false" outlineLevel="0" collapsed="false">
      <c r="A237" s="5" t="s">
        <v>753</v>
      </c>
      <c r="B237" s="2" t="s">
        <v>707</v>
      </c>
      <c r="C237" s="5" t="s">
        <v>642</v>
      </c>
      <c r="D237" s="11" t="n">
        <v>0.1</v>
      </c>
      <c r="E237" s="11" t="n">
        <v>-0.841510680753889</v>
      </c>
      <c r="F237" s="11" t="n">
        <v>-0.841510680753889</v>
      </c>
      <c r="I237" s="11" t="n">
        <v>-0.9</v>
      </c>
      <c r="L237" s="2" t="s">
        <v>708</v>
      </c>
    </row>
    <row r="238" customFormat="false" ht="35.05" hidden="false" customHeight="false" outlineLevel="0" collapsed="false">
      <c r="A238" s="5" t="s">
        <v>753</v>
      </c>
      <c r="B238" s="2" t="s">
        <v>707</v>
      </c>
      <c r="C238" s="5" t="s">
        <v>645</v>
      </c>
      <c r="D238" s="11" t="n">
        <v>0.9</v>
      </c>
      <c r="E238" s="11" t="n">
        <v>-1</v>
      </c>
      <c r="F238" s="11" t="n">
        <v>-1</v>
      </c>
      <c r="I238" s="11" t="n">
        <v>-0.1</v>
      </c>
      <c r="L238" s="2" t="s">
        <v>708</v>
      </c>
    </row>
    <row r="239" customFormat="false" ht="35.05" hidden="false" customHeight="false" outlineLevel="0" collapsed="false">
      <c r="A239" s="5" t="s">
        <v>753</v>
      </c>
      <c r="B239" s="2" t="s">
        <v>707</v>
      </c>
      <c r="C239" s="5" t="s">
        <v>645</v>
      </c>
      <c r="D239" s="11" t="n">
        <v>0.75</v>
      </c>
      <c r="E239" s="11" t="n">
        <v>-1</v>
      </c>
      <c r="F239" s="11" t="n">
        <v>-1</v>
      </c>
      <c r="I239" s="11" t="n">
        <v>-0.25</v>
      </c>
      <c r="L239" s="2" t="s">
        <v>708</v>
      </c>
    </row>
    <row r="240" customFormat="false" ht="35.05" hidden="false" customHeight="false" outlineLevel="0" collapsed="false">
      <c r="A240" s="5" t="s">
        <v>753</v>
      </c>
      <c r="B240" s="2" t="s">
        <v>707</v>
      </c>
      <c r="C240" s="5" t="s">
        <v>645</v>
      </c>
      <c r="D240" s="11" t="n">
        <v>0.5</v>
      </c>
      <c r="E240" s="11" t="n">
        <v>-1</v>
      </c>
      <c r="F240" s="11" t="n">
        <v>-1</v>
      </c>
      <c r="I240" s="11" t="n">
        <v>-0.5</v>
      </c>
      <c r="L240" s="2" t="s">
        <v>708</v>
      </c>
    </row>
    <row r="241" customFormat="false" ht="35.05" hidden="false" customHeight="false" outlineLevel="0" collapsed="false">
      <c r="A241" s="5" t="s">
        <v>753</v>
      </c>
      <c r="B241" s="2" t="s">
        <v>707</v>
      </c>
      <c r="C241" s="5" t="s">
        <v>645</v>
      </c>
      <c r="D241" s="11" t="n">
        <v>0.25</v>
      </c>
      <c r="E241" s="11" t="n">
        <v>-1</v>
      </c>
      <c r="F241" s="11" t="n">
        <v>-1</v>
      </c>
      <c r="I241" s="11" t="n">
        <v>-0.75</v>
      </c>
      <c r="L241" s="2" t="s">
        <v>708</v>
      </c>
    </row>
    <row r="242" customFormat="false" ht="35.05" hidden="false" customHeight="false" outlineLevel="0" collapsed="false">
      <c r="A242" s="5" t="s">
        <v>753</v>
      </c>
      <c r="B242" s="2" t="s">
        <v>707</v>
      </c>
      <c r="C242" s="5" t="s">
        <v>645</v>
      </c>
      <c r="D242" s="11" t="n">
        <v>0.1</v>
      </c>
      <c r="E242" s="11" t="n">
        <v>-1</v>
      </c>
      <c r="F242" s="11" t="n">
        <v>-1</v>
      </c>
      <c r="I242" s="11" t="n">
        <v>-0.9</v>
      </c>
      <c r="L242" s="2" t="s">
        <v>708</v>
      </c>
    </row>
    <row r="243" customFormat="false" ht="46.25" hidden="false" customHeight="false" outlineLevel="0" collapsed="false">
      <c r="A243" s="5" t="s">
        <v>754</v>
      </c>
      <c r="B243" s="2" t="s">
        <v>408</v>
      </c>
      <c r="C243" s="5" t="s">
        <v>642</v>
      </c>
      <c r="D243" s="11" t="n">
        <v>0.9</v>
      </c>
      <c r="E243" s="11" t="n">
        <v>-0.099875635039927</v>
      </c>
      <c r="F243" s="11" t="n">
        <v>-0.120584085457069</v>
      </c>
      <c r="G243" s="11" t="n">
        <v>0.14524864446568</v>
      </c>
      <c r="H243" s="11" t="n">
        <v>0</v>
      </c>
      <c r="I243" s="11" t="n">
        <v>-0.0998756350399269</v>
      </c>
      <c r="J243" s="15" t="n">
        <v>1.09507221960109</v>
      </c>
      <c r="K243" s="2" t="s">
        <v>755</v>
      </c>
    </row>
    <row r="244" customFormat="false" ht="46.25" hidden="false" customHeight="false" outlineLevel="0" collapsed="false">
      <c r="A244" s="5" t="s">
        <v>754</v>
      </c>
      <c r="B244" s="2" t="s">
        <v>408</v>
      </c>
      <c r="C244" s="5" t="s">
        <v>642</v>
      </c>
      <c r="D244" s="11" t="n">
        <v>0.75</v>
      </c>
      <c r="E244" s="11" t="n">
        <v>-0.249682968020331</v>
      </c>
      <c r="F244" s="11" t="n">
        <v>-0.298127899790716</v>
      </c>
      <c r="G244" s="11" t="n">
        <v>0.350581703051948</v>
      </c>
      <c r="H244" s="11" t="n">
        <v>0</v>
      </c>
      <c r="I244" s="11" t="n">
        <v>-0.249682968020331</v>
      </c>
      <c r="J244" s="15" t="n">
        <v>1.28648762457029</v>
      </c>
      <c r="K244" s="2" t="s">
        <v>756</v>
      </c>
    </row>
    <row r="245" customFormat="false" ht="46.25" hidden="false" customHeight="false" outlineLevel="0" collapsed="false">
      <c r="A245" s="5" t="s">
        <v>754</v>
      </c>
      <c r="B245" s="2" t="s">
        <v>408</v>
      </c>
      <c r="C245" s="5" t="s">
        <v>642</v>
      </c>
      <c r="D245" s="11" t="n">
        <v>0.5</v>
      </c>
      <c r="E245" s="11" t="n">
        <v>-0.439906999148013</v>
      </c>
      <c r="F245" s="11" t="n">
        <v>-0.999999998529412</v>
      </c>
      <c r="G245" s="11" t="n">
        <v>0.999999998780412</v>
      </c>
      <c r="H245" s="11" t="n">
        <v>0</v>
      </c>
      <c r="I245" s="11" t="n">
        <v>-0.439906999148012</v>
      </c>
      <c r="J245" s="15" t="n">
        <v>1.12291781227947</v>
      </c>
      <c r="K245" s="2" t="s">
        <v>757</v>
      </c>
    </row>
    <row r="246" customFormat="false" ht="46.25" hidden="false" customHeight="false" outlineLevel="0" collapsed="false">
      <c r="A246" s="5" t="s">
        <v>754</v>
      </c>
      <c r="B246" s="2" t="s">
        <v>408</v>
      </c>
      <c r="C246" s="5" t="s">
        <v>642</v>
      </c>
      <c r="D246" s="11" t="n">
        <v>0.25</v>
      </c>
      <c r="E246" s="11" t="n">
        <v>-0.439906999148013</v>
      </c>
      <c r="F246" s="11" t="n">
        <v>-0.999999998529412</v>
      </c>
      <c r="G246" s="11" t="n">
        <v>0.999999998988572</v>
      </c>
      <c r="H246" s="11" t="n">
        <v>0</v>
      </c>
      <c r="I246" s="11" t="n">
        <v>-0.439906999148012</v>
      </c>
      <c r="J246" s="15" t="n">
        <v>1.12291781227947</v>
      </c>
      <c r="K246" s="2" t="s">
        <v>757</v>
      </c>
    </row>
    <row r="247" customFormat="false" ht="46.25" hidden="false" customHeight="false" outlineLevel="0" collapsed="false">
      <c r="A247" s="5" t="s">
        <v>754</v>
      </c>
      <c r="B247" s="2" t="s">
        <v>408</v>
      </c>
      <c r="C247" s="5" t="s">
        <v>642</v>
      </c>
      <c r="D247" s="11" t="n">
        <v>0.1</v>
      </c>
      <c r="E247" s="11" t="n">
        <v>-0.439906999148013</v>
      </c>
      <c r="F247" s="11" t="n">
        <v>-0.999999998529412</v>
      </c>
      <c r="G247" s="11" t="n">
        <v>0.999999999210247</v>
      </c>
      <c r="H247" s="11" t="n">
        <v>0</v>
      </c>
      <c r="I247" s="11" t="n">
        <v>-0.439906999148012</v>
      </c>
      <c r="J247" s="15" t="n">
        <v>1.12291781227947</v>
      </c>
      <c r="K247" s="2" t="s">
        <v>757</v>
      </c>
    </row>
    <row r="248" customFormat="false" ht="46.25" hidden="false" customHeight="false" outlineLevel="0" collapsed="false">
      <c r="A248" s="5" t="s">
        <v>754</v>
      </c>
      <c r="B248" s="2" t="s">
        <v>408</v>
      </c>
      <c r="C248" s="5" t="s">
        <v>645</v>
      </c>
      <c r="D248" s="11" t="n">
        <v>0.9</v>
      </c>
      <c r="E248" s="11" t="n">
        <v>-0.679920865492578</v>
      </c>
      <c r="F248" s="11" t="n">
        <v>-0.999999998529412</v>
      </c>
      <c r="G248" s="11" t="n">
        <v>0.999999998570657</v>
      </c>
      <c r="H248" s="11" t="n">
        <v>0</v>
      </c>
      <c r="I248" s="11" t="n">
        <v>2.22044604925031E-016</v>
      </c>
      <c r="J248" s="15" t="n">
        <v>1.25588110719015</v>
      </c>
      <c r="K248" s="2" t="s">
        <v>758</v>
      </c>
    </row>
    <row r="249" customFormat="false" ht="46.25" hidden="false" customHeight="false" outlineLevel="0" collapsed="false">
      <c r="A249" s="5" t="s">
        <v>754</v>
      </c>
      <c r="B249" s="2" t="s">
        <v>408</v>
      </c>
      <c r="C249" s="5" t="s">
        <v>645</v>
      </c>
      <c r="D249" s="11" t="n">
        <v>0.75</v>
      </c>
      <c r="E249" s="11" t="n">
        <v>-0.679920865492578</v>
      </c>
      <c r="F249" s="11" t="n">
        <v>-0.999999998529412</v>
      </c>
      <c r="G249" s="11" t="n">
        <v>0.999999998639315</v>
      </c>
      <c r="H249" s="11" t="n">
        <v>0</v>
      </c>
      <c r="I249" s="11" t="n">
        <v>2.22044604925031E-016</v>
      </c>
      <c r="J249" s="15" t="n">
        <v>1.25588110719015</v>
      </c>
      <c r="K249" s="2" t="s">
        <v>758</v>
      </c>
    </row>
    <row r="250" customFormat="false" ht="46.25" hidden="false" customHeight="false" outlineLevel="0" collapsed="false">
      <c r="A250" s="5" t="s">
        <v>754</v>
      </c>
      <c r="B250" s="2" t="s">
        <v>408</v>
      </c>
      <c r="C250" s="5" t="s">
        <v>645</v>
      </c>
      <c r="D250" s="11" t="n">
        <v>0.5</v>
      </c>
      <c r="E250" s="11" t="n">
        <v>-0.679920865492578</v>
      </c>
      <c r="F250" s="11" t="n">
        <v>-0.999999998529412</v>
      </c>
      <c r="G250" s="11" t="n">
        <v>0.999999998780412</v>
      </c>
      <c r="H250" s="11" t="n">
        <v>0</v>
      </c>
      <c r="I250" s="11" t="n">
        <v>2.22044604925031E-016</v>
      </c>
      <c r="J250" s="15" t="n">
        <v>1.25588110719015</v>
      </c>
      <c r="K250" s="2" t="s">
        <v>758</v>
      </c>
    </row>
    <row r="251" customFormat="false" ht="46.25" hidden="false" customHeight="false" outlineLevel="0" collapsed="false">
      <c r="A251" s="5" t="s">
        <v>754</v>
      </c>
      <c r="B251" s="2" t="s">
        <v>408</v>
      </c>
      <c r="C251" s="5" t="s">
        <v>645</v>
      </c>
      <c r="D251" s="11" t="n">
        <v>0.25</v>
      </c>
      <c r="E251" s="11" t="n">
        <v>-0.679920865492578</v>
      </c>
      <c r="F251" s="11" t="n">
        <v>-0.999999998529412</v>
      </c>
      <c r="G251" s="11" t="n">
        <v>0.999999998988572</v>
      </c>
      <c r="H251" s="11" t="n">
        <v>0</v>
      </c>
      <c r="I251" s="11" t="n">
        <v>2.22044604925031E-016</v>
      </c>
      <c r="J251" s="15" t="n">
        <v>1.25588110719015</v>
      </c>
      <c r="K251" s="2" t="s">
        <v>758</v>
      </c>
    </row>
    <row r="252" customFormat="false" ht="46.25" hidden="false" customHeight="false" outlineLevel="0" collapsed="false">
      <c r="A252" s="5" t="s">
        <v>754</v>
      </c>
      <c r="B252" s="2" t="s">
        <v>408</v>
      </c>
      <c r="C252" s="5" t="s">
        <v>645</v>
      </c>
      <c r="D252" s="11" t="n">
        <v>0.1</v>
      </c>
      <c r="E252" s="11" t="n">
        <v>-0.679920865492578</v>
      </c>
      <c r="F252" s="11" t="n">
        <v>-0.999999998529412</v>
      </c>
      <c r="G252" s="11" t="n">
        <v>0.999999999210247</v>
      </c>
      <c r="H252" s="11" t="n">
        <v>0</v>
      </c>
      <c r="I252" s="11" t="n">
        <v>2.22044604925031E-016</v>
      </c>
      <c r="J252" s="15" t="n">
        <v>1.25588110719015</v>
      </c>
      <c r="K252" s="2" t="s">
        <v>758</v>
      </c>
    </row>
    <row r="253" customFormat="false" ht="46.25" hidden="false" customHeight="false" outlineLevel="0" collapsed="false">
      <c r="A253" s="5" t="s">
        <v>754</v>
      </c>
      <c r="B253" s="2" t="s">
        <v>411</v>
      </c>
      <c r="C253" s="5" t="s">
        <v>642</v>
      </c>
      <c r="D253" s="11" t="n">
        <v>0.9</v>
      </c>
      <c r="E253" s="11" t="n">
        <v>-0.099875635039927</v>
      </c>
      <c r="F253" s="11" t="n">
        <v>-0.0700795666697168</v>
      </c>
      <c r="G253" s="11" t="n">
        <v>0.14524864446568</v>
      </c>
      <c r="H253" s="11" t="n">
        <v>0</v>
      </c>
      <c r="I253" s="11" t="n">
        <v>-0.0998756350399269</v>
      </c>
      <c r="J253" s="15" t="n">
        <v>1.60948784520973</v>
      </c>
      <c r="K253" s="2" t="s">
        <v>755</v>
      </c>
    </row>
    <row r="254" customFormat="false" ht="46.25" hidden="false" customHeight="false" outlineLevel="0" collapsed="false">
      <c r="A254" s="5" t="s">
        <v>754</v>
      </c>
      <c r="B254" s="2" t="s">
        <v>411</v>
      </c>
      <c r="C254" s="5" t="s">
        <v>642</v>
      </c>
      <c r="D254" s="11" t="n">
        <v>0.75</v>
      </c>
      <c r="E254" s="11" t="n">
        <v>-0.149651567873347</v>
      </c>
      <c r="F254" s="11" t="n">
        <v>-0.999999995117188</v>
      </c>
      <c r="G254" s="11" t="n">
        <v>0.999999996121006</v>
      </c>
      <c r="H254" s="11" t="n">
        <v>0</v>
      </c>
      <c r="I254" s="11" t="n">
        <v>-0.149651567873347</v>
      </c>
      <c r="J254" s="15" t="n">
        <v>1.03295313233588</v>
      </c>
      <c r="K254" s="2" t="s">
        <v>759</v>
      </c>
    </row>
    <row r="255" customFormat="false" ht="46.25" hidden="false" customHeight="false" outlineLevel="0" collapsed="false">
      <c r="A255" s="5" t="s">
        <v>754</v>
      </c>
      <c r="B255" s="2" t="s">
        <v>411</v>
      </c>
      <c r="C255" s="5" t="s">
        <v>642</v>
      </c>
      <c r="D255" s="11" t="n">
        <v>0.5</v>
      </c>
      <c r="E255" s="11" t="n">
        <v>-0.149651567873347</v>
      </c>
      <c r="F255" s="11" t="n">
        <v>-0.999999995117188</v>
      </c>
      <c r="G255" s="11" t="n">
        <v>0.999999997195561</v>
      </c>
      <c r="H255" s="11" t="n">
        <v>0</v>
      </c>
      <c r="I255" s="11" t="n">
        <v>-0.149651567873347</v>
      </c>
      <c r="J255" s="15" t="n">
        <v>1.03295313233588</v>
      </c>
      <c r="K255" s="2" t="s">
        <v>759</v>
      </c>
    </row>
    <row r="256" customFormat="false" ht="46.25" hidden="false" customHeight="false" outlineLevel="0" collapsed="false">
      <c r="A256" s="5" t="s">
        <v>754</v>
      </c>
      <c r="B256" s="2" t="s">
        <v>411</v>
      </c>
      <c r="C256" s="5" t="s">
        <v>645</v>
      </c>
      <c r="D256" s="11" t="n">
        <v>0.9</v>
      </c>
      <c r="E256" s="11" t="n">
        <v>-0.204784547989004</v>
      </c>
      <c r="F256" s="11" t="n">
        <v>-0.999999995117188</v>
      </c>
      <c r="G256" s="11" t="n">
        <v>0.999999995511884</v>
      </c>
      <c r="H256" s="11" t="n">
        <v>0</v>
      </c>
      <c r="I256" s="11" t="n">
        <v>0</v>
      </c>
      <c r="J256" s="15" t="n">
        <v>1.04689478865142</v>
      </c>
      <c r="K256" s="2" t="s">
        <v>760</v>
      </c>
    </row>
    <row r="257" customFormat="false" ht="46.25" hidden="false" customHeight="false" outlineLevel="0" collapsed="false">
      <c r="A257" s="5" t="s">
        <v>754</v>
      </c>
      <c r="B257" s="2" t="s">
        <v>411</v>
      </c>
      <c r="C257" s="5" t="s">
        <v>645</v>
      </c>
      <c r="D257" s="11" t="n">
        <v>0.75</v>
      </c>
      <c r="E257" s="11" t="n">
        <v>-0.204784547989004</v>
      </c>
      <c r="F257" s="11" t="n">
        <v>-0.999999995117188</v>
      </c>
      <c r="G257" s="11" t="n">
        <v>0.999999996121006</v>
      </c>
      <c r="H257" s="11" t="n">
        <v>0</v>
      </c>
      <c r="I257" s="11" t="n">
        <v>0</v>
      </c>
      <c r="J257" s="15" t="n">
        <v>1.04689478865142</v>
      </c>
      <c r="K257" s="2" t="s">
        <v>760</v>
      </c>
    </row>
    <row r="258" customFormat="false" ht="46.25" hidden="false" customHeight="false" outlineLevel="0" collapsed="false">
      <c r="A258" s="5" t="s">
        <v>754</v>
      </c>
      <c r="B258" s="2" t="s">
        <v>411</v>
      </c>
      <c r="C258" s="5" t="s">
        <v>645</v>
      </c>
      <c r="D258" s="11" t="n">
        <v>0.5</v>
      </c>
      <c r="E258" s="11" t="n">
        <v>-0.204784547989004</v>
      </c>
      <c r="F258" s="11" t="n">
        <v>-0.999999995117188</v>
      </c>
      <c r="G258" s="11" t="n">
        <v>0.999999997195561</v>
      </c>
      <c r="H258" s="11" t="n">
        <v>0</v>
      </c>
      <c r="I258" s="11" t="n">
        <v>0</v>
      </c>
      <c r="J258" s="15" t="n">
        <v>1.04689478865142</v>
      </c>
      <c r="K258" s="2" t="s">
        <v>760</v>
      </c>
    </row>
    <row r="259" customFormat="false" ht="46.25" hidden="false" customHeight="false" outlineLevel="0" collapsed="false">
      <c r="A259" s="5" t="s">
        <v>754</v>
      </c>
      <c r="B259" s="2" t="s">
        <v>414</v>
      </c>
      <c r="C259" s="5" t="s">
        <v>642</v>
      </c>
      <c r="D259" s="11" t="n">
        <v>0.9</v>
      </c>
      <c r="E259" s="11" t="n">
        <v>-0.0064059271635426</v>
      </c>
      <c r="F259" s="11" t="n">
        <v>-0.0750457321318556</v>
      </c>
      <c r="G259" s="11" t="n">
        <v>0.210260201151655</v>
      </c>
      <c r="H259" s="11" t="n">
        <v>0</v>
      </c>
      <c r="I259" s="11" t="n">
        <v>-0.00640592716354249</v>
      </c>
      <c r="J259" s="15" t="n">
        <v>1.08113453252648</v>
      </c>
      <c r="K259" s="2" t="s">
        <v>761</v>
      </c>
    </row>
    <row r="260" customFormat="false" ht="46.25" hidden="false" customHeight="false" outlineLevel="0" collapsed="false">
      <c r="A260" s="5" t="s">
        <v>754</v>
      </c>
      <c r="B260" s="2" t="s">
        <v>414</v>
      </c>
      <c r="C260" s="5" t="s">
        <v>642</v>
      </c>
      <c r="D260" s="11" t="n">
        <v>0.75</v>
      </c>
      <c r="E260" s="11" t="n">
        <v>-0.0145391502419749</v>
      </c>
      <c r="F260" s="11" t="n">
        <v>-0.170603505884624</v>
      </c>
      <c r="G260" s="11" t="n">
        <v>0.46129117471475</v>
      </c>
      <c r="H260" s="11" t="n">
        <v>0</v>
      </c>
      <c r="I260" s="11" t="n">
        <v>-0.0145391502419748</v>
      </c>
      <c r="J260" s="15" t="n">
        <v>1.20569595735582</v>
      </c>
      <c r="K260" s="2" t="s">
        <v>762</v>
      </c>
    </row>
    <row r="261" customFormat="false" ht="46.25" hidden="false" customHeight="false" outlineLevel="0" collapsed="false">
      <c r="A261" s="5" t="s">
        <v>754</v>
      </c>
      <c r="B261" s="2" t="s">
        <v>414</v>
      </c>
      <c r="C261" s="5" t="s">
        <v>642</v>
      </c>
      <c r="D261" s="11" t="n">
        <v>0.5</v>
      </c>
      <c r="E261" s="11" t="n">
        <v>-0.0251135279312891</v>
      </c>
      <c r="F261" s="11" t="n">
        <v>-0.295315646347163</v>
      </c>
      <c r="G261" s="11" t="n">
        <v>0.75085645746801</v>
      </c>
      <c r="H261" s="11" t="n">
        <v>0</v>
      </c>
      <c r="I261" s="11" t="n">
        <v>-0.025113527931289</v>
      </c>
      <c r="J261" s="15" t="n">
        <v>1.41907507214592</v>
      </c>
      <c r="K261" s="2" t="s">
        <v>763</v>
      </c>
    </row>
    <row r="262" customFormat="false" ht="46.25" hidden="false" customHeight="false" outlineLevel="0" collapsed="false">
      <c r="A262" s="5" t="s">
        <v>754</v>
      </c>
      <c r="B262" s="2" t="s">
        <v>414</v>
      </c>
      <c r="C262" s="5" t="s">
        <v>642</v>
      </c>
      <c r="D262" s="11" t="n">
        <v>0.35</v>
      </c>
      <c r="E262" s="11" t="n">
        <v>-0.0301326928064674</v>
      </c>
      <c r="F262" s="11" t="n">
        <v>-0.354701783387213</v>
      </c>
      <c r="G262" s="11" t="n">
        <v>0.86638274933194</v>
      </c>
      <c r="H262" s="11" t="n">
        <v>0</v>
      </c>
      <c r="I262" s="11" t="n">
        <v>-0.0301326928064671</v>
      </c>
      <c r="J262" s="15" t="n">
        <v>1.54967110439119</v>
      </c>
      <c r="K262" s="2" t="s">
        <v>764</v>
      </c>
    </row>
    <row r="263" customFormat="false" ht="46.25" hidden="false" customHeight="false" outlineLevel="0" collapsed="false">
      <c r="A263" s="5" t="s">
        <v>754</v>
      </c>
      <c r="B263" s="2" t="s">
        <v>414</v>
      </c>
      <c r="C263" s="5" t="s">
        <v>645</v>
      </c>
      <c r="D263" s="11" t="n">
        <v>0.9</v>
      </c>
      <c r="E263" s="11" t="n">
        <v>-0.00985378012591798</v>
      </c>
      <c r="F263" s="11" t="n">
        <v>-0.0855424270505332</v>
      </c>
      <c r="G263" s="11" t="n">
        <v>0.219222436390328</v>
      </c>
      <c r="H263" s="11" t="n">
        <v>0</v>
      </c>
      <c r="I263" s="11" t="n">
        <v>0</v>
      </c>
      <c r="J263" s="15" t="n">
        <v>1.09354444599833</v>
      </c>
      <c r="K263" s="2" t="s">
        <v>765</v>
      </c>
    </row>
    <row r="264" customFormat="false" ht="46.25" hidden="false" customHeight="false" outlineLevel="0" collapsed="false">
      <c r="A264" s="5" t="s">
        <v>754</v>
      </c>
      <c r="B264" s="2" t="s">
        <v>414</v>
      </c>
      <c r="C264" s="5" t="s">
        <v>645</v>
      </c>
      <c r="D264" s="11" t="n">
        <v>0.75</v>
      </c>
      <c r="E264" s="11" t="n">
        <v>-0.0218330501188042</v>
      </c>
      <c r="F264" s="11" t="n">
        <v>-0.189536707493957</v>
      </c>
      <c r="G264" s="11" t="n">
        <v>0.473588649891241</v>
      </c>
      <c r="H264" s="11" t="n">
        <v>0</v>
      </c>
      <c r="I264" s="11" t="n">
        <v>0</v>
      </c>
      <c r="J264" s="15" t="n">
        <v>1.23386217395224</v>
      </c>
      <c r="K264" s="2" t="s">
        <v>766</v>
      </c>
    </row>
    <row r="265" customFormat="false" ht="46.25" hidden="false" customHeight="false" outlineLevel="0" collapsed="false">
      <c r="A265" s="5" t="s">
        <v>754</v>
      </c>
      <c r="B265" s="2" t="s">
        <v>414</v>
      </c>
      <c r="C265" s="5" t="s">
        <v>645</v>
      </c>
      <c r="D265" s="11" t="n">
        <v>0.5</v>
      </c>
      <c r="E265" s="11" t="n">
        <v>-0.036708611746207</v>
      </c>
      <c r="F265" s="11" t="n">
        <v>-0.318674392835794</v>
      </c>
      <c r="G265" s="11" t="n">
        <v>0.759115021489074</v>
      </c>
      <c r="H265" s="11" t="n">
        <v>0</v>
      </c>
      <c r="I265" s="11" t="n">
        <v>0</v>
      </c>
      <c r="J265" s="15" t="n">
        <v>1.46772701551931</v>
      </c>
      <c r="K265" s="2" t="s">
        <v>767</v>
      </c>
    </row>
    <row r="266" customFormat="false" ht="46.25" hidden="false" customHeight="false" outlineLevel="0" collapsed="false">
      <c r="A266" s="5" t="s">
        <v>754</v>
      </c>
      <c r="B266" s="2" t="s">
        <v>414</v>
      </c>
      <c r="C266" s="5" t="s">
        <v>645</v>
      </c>
      <c r="D266" s="11" t="n">
        <v>0.35</v>
      </c>
      <c r="E266" s="11" t="n">
        <v>-0.0435570997271737</v>
      </c>
      <c r="F266" s="11" t="n">
        <v>-0.37812752783179</v>
      </c>
      <c r="G266" s="11" t="n">
        <v>0.871233349390882</v>
      </c>
      <c r="H266" s="11" t="n">
        <v>0</v>
      </c>
      <c r="I266" s="11" t="n">
        <v>0</v>
      </c>
      <c r="J266" s="15" t="n">
        <v>1.60804673748207</v>
      </c>
      <c r="K266" s="2" t="s">
        <v>768</v>
      </c>
    </row>
    <row r="267" customFormat="false" ht="46.25" hidden="false" customHeight="false" outlineLevel="0" collapsed="false">
      <c r="A267" s="5" t="s">
        <v>754</v>
      </c>
      <c r="B267" s="2" t="s">
        <v>416</v>
      </c>
      <c r="C267" s="5" t="s">
        <v>642</v>
      </c>
      <c r="D267" s="11" t="n">
        <v>0.9</v>
      </c>
      <c r="E267" s="11" t="n">
        <v>-0.0099571232683453</v>
      </c>
      <c r="F267" s="11" t="n">
        <v>-0.116730566951199</v>
      </c>
      <c r="G267" s="11" t="n">
        <v>0.205057510256079</v>
      </c>
      <c r="H267" s="11" t="n">
        <v>0</v>
      </c>
      <c r="I267" s="11" t="n">
        <v>-0.00995712326834508</v>
      </c>
      <c r="J267" s="15" t="n">
        <v>1.08627020069765</v>
      </c>
      <c r="K267" s="2" t="s">
        <v>769</v>
      </c>
    </row>
    <row r="268" customFormat="false" ht="46.25" hidden="false" customHeight="false" outlineLevel="0" collapsed="false">
      <c r="A268" s="5" t="s">
        <v>754</v>
      </c>
      <c r="B268" s="2" t="s">
        <v>416</v>
      </c>
      <c r="C268" s="5" t="s">
        <v>642</v>
      </c>
      <c r="D268" s="11" t="n">
        <v>0.75</v>
      </c>
      <c r="E268" s="11" t="n">
        <v>-0.0220645786891878</v>
      </c>
      <c r="F268" s="11" t="n">
        <v>-0.259301312334207</v>
      </c>
      <c r="G268" s="11" t="n">
        <v>0.444475984250655</v>
      </c>
      <c r="H268" s="11" t="n">
        <v>0</v>
      </c>
      <c r="I268" s="11" t="n">
        <v>-0.0220645786891877</v>
      </c>
      <c r="J268" s="15" t="n">
        <v>1.221534160246</v>
      </c>
      <c r="K268" s="2" t="s">
        <v>770</v>
      </c>
    </row>
    <row r="269" customFormat="false" ht="46.25" hidden="false" customHeight="false" outlineLevel="0" collapsed="false">
      <c r="A269" s="5" t="s">
        <v>754</v>
      </c>
      <c r="B269" s="2" t="s">
        <v>416</v>
      </c>
      <c r="C269" s="5" t="s">
        <v>642</v>
      </c>
      <c r="D269" s="11" t="n">
        <v>0.5</v>
      </c>
      <c r="E269" s="11" t="n">
        <v>-0.0366734496049226</v>
      </c>
      <c r="F269" s="11" t="n">
        <v>-0.432279442997552</v>
      </c>
      <c r="G269" s="11" t="n">
        <v>0.716139721498776</v>
      </c>
      <c r="H269" s="11" t="n">
        <v>0</v>
      </c>
      <c r="I269" s="11" t="n">
        <v>-0.0366734496049224</v>
      </c>
      <c r="J269" s="15" t="n">
        <v>1.45851282799304</v>
      </c>
      <c r="K269" s="2" t="s">
        <v>771</v>
      </c>
    </row>
    <row r="270" customFormat="false" ht="46.25" hidden="false" customHeight="false" outlineLevel="0" collapsed="false">
      <c r="A270" s="5" t="s">
        <v>754</v>
      </c>
      <c r="B270" s="2" t="s">
        <v>416</v>
      </c>
      <c r="C270" s="5" t="s">
        <v>645</v>
      </c>
      <c r="D270" s="11" t="n">
        <v>0.9</v>
      </c>
      <c r="E270" s="11" t="n">
        <v>-0.0162761096793729</v>
      </c>
      <c r="F270" s="11" t="n">
        <v>-0.14129585580377</v>
      </c>
      <c r="G270" s="11" t="n">
        <v>0.227166270223393</v>
      </c>
      <c r="H270" s="11" t="n">
        <v>0</v>
      </c>
      <c r="I270" s="11" t="n">
        <v>0</v>
      </c>
      <c r="J270" s="15" t="n">
        <v>1.1068895672016</v>
      </c>
      <c r="K270" s="2" t="s">
        <v>772</v>
      </c>
    </row>
    <row r="271" customFormat="false" ht="46.25" hidden="false" customHeight="false" outlineLevel="0" collapsed="false">
      <c r="A271" s="5" t="s">
        <v>754</v>
      </c>
      <c r="B271" s="2" t="s">
        <v>416</v>
      </c>
      <c r="C271" s="5" t="s">
        <v>645</v>
      </c>
      <c r="D271" s="11" t="n">
        <v>0.75</v>
      </c>
      <c r="E271" s="11" t="n">
        <v>-0.0344421705057392</v>
      </c>
      <c r="F271" s="11" t="n">
        <v>-0.298998957887816</v>
      </c>
      <c r="G271" s="11" t="n">
        <v>0.474249218415862</v>
      </c>
      <c r="H271" s="11" t="n">
        <v>0</v>
      </c>
      <c r="I271" s="11" t="n">
        <v>0</v>
      </c>
      <c r="J271" s="15" t="n">
        <v>1.26722643594629</v>
      </c>
      <c r="K271" s="2" t="s">
        <v>773</v>
      </c>
    </row>
    <row r="272" customFormat="false" ht="46.25" hidden="false" customHeight="false" outlineLevel="0" collapsed="false">
      <c r="A272" s="5" t="s">
        <v>754</v>
      </c>
      <c r="B272" s="2" t="s">
        <v>416</v>
      </c>
      <c r="C272" s="5" t="s">
        <v>645</v>
      </c>
      <c r="D272" s="11" t="n">
        <v>0.5</v>
      </c>
      <c r="E272" s="11" t="n">
        <v>-0.0545894115470549</v>
      </c>
      <c r="F272" s="11" t="n">
        <v>-0.473901380598651</v>
      </c>
      <c r="G272" s="11" t="n">
        <v>0.736950690299326</v>
      </c>
      <c r="H272" s="11" t="n">
        <v>0</v>
      </c>
      <c r="I272" s="11" t="n">
        <v>0</v>
      </c>
      <c r="J272" s="15" t="n">
        <v>1.53445877554191</v>
      </c>
      <c r="K272" s="2" t="s">
        <v>774</v>
      </c>
    </row>
    <row r="273" customFormat="false" ht="46.25" hidden="false" customHeight="false" outlineLevel="0" collapsed="false">
      <c r="A273" s="5" t="s">
        <v>754</v>
      </c>
      <c r="B273" s="2" t="s">
        <v>418</v>
      </c>
      <c r="C273" s="5" t="s">
        <v>642</v>
      </c>
      <c r="D273" s="11" t="n">
        <v>0.9</v>
      </c>
      <c r="E273" s="11" t="n">
        <v>-3.35049451751779E-005</v>
      </c>
      <c r="F273" s="11" t="n">
        <v>-3.35049451751779E-005</v>
      </c>
      <c r="G273" s="11" t="n">
        <v>0.409529784335076</v>
      </c>
      <c r="H273" s="11" t="n">
        <v>0</v>
      </c>
      <c r="I273" s="11" t="n">
        <v>-3.35049451750669E-005</v>
      </c>
      <c r="J273" s="15" t="n">
        <v>1.00008239517611</v>
      </c>
      <c r="K273" s="2" t="s">
        <v>775</v>
      </c>
    </row>
    <row r="274" customFormat="false" ht="46.25" hidden="false" customHeight="false" outlineLevel="0" collapsed="false">
      <c r="A274" s="5" t="s">
        <v>754</v>
      </c>
      <c r="B274" s="2" t="s">
        <v>418</v>
      </c>
      <c r="C274" s="5" t="s">
        <v>642</v>
      </c>
      <c r="D274" s="11" t="n">
        <v>0.75</v>
      </c>
      <c r="E274" s="11" t="n">
        <v>-8.37578198784605E-005</v>
      </c>
      <c r="F274" s="11" t="n">
        <v>-8.37578198784605E-005</v>
      </c>
      <c r="G274" s="11" t="n">
        <v>0.762715188623272</v>
      </c>
      <c r="H274" s="11" t="n">
        <v>0</v>
      </c>
      <c r="I274" s="11" t="n">
        <v>-8.37578198784605E-005</v>
      </c>
      <c r="J274" s="15" t="n">
        <v>1.0002059967793</v>
      </c>
      <c r="K274" s="2" t="s">
        <v>775</v>
      </c>
    </row>
    <row r="275" customFormat="false" ht="46.25" hidden="false" customHeight="false" outlineLevel="0" collapsed="false">
      <c r="A275" s="5" t="s">
        <v>754</v>
      </c>
      <c r="B275" s="2" t="s">
        <v>418</v>
      </c>
      <c r="C275" s="5" t="s">
        <v>642</v>
      </c>
      <c r="D275" s="11" t="n">
        <v>0.5</v>
      </c>
      <c r="E275" s="11" t="n">
        <v>-0.00016749919244563</v>
      </c>
      <c r="F275" s="11" t="n">
        <v>-0.00016749919244563</v>
      </c>
      <c r="G275" s="11" t="n">
        <v>0.968755234349764</v>
      </c>
      <c r="H275" s="11" t="n">
        <v>0</v>
      </c>
      <c r="I275" s="11" t="n">
        <v>-0.00016749919244563</v>
      </c>
      <c r="J275" s="15" t="n">
        <v>1.00041201980986</v>
      </c>
      <c r="K275" s="2" t="s">
        <v>775</v>
      </c>
    </row>
    <row r="276" customFormat="false" ht="46.25" hidden="false" customHeight="false" outlineLevel="0" collapsed="false">
      <c r="A276" s="5" t="s">
        <v>754</v>
      </c>
      <c r="B276" s="2" t="s">
        <v>418</v>
      </c>
      <c r="C276" s="5" t="s">
        <v>642</v>
      </c>
      <c r="D276" s="11" t="n">
        <v>0.25</v>
      </c>
      <c r="E276" s="11" t="n">
        <v>-0.000251223794597966</v>
      </c>
      <c r="F276" s="11" t="n">
        <v>-0.000251223794597966</v>
      </c>
      <c r="G276" s="11" t="n">
        <v>0.999023682835737</v>
      </c>
      <c r="H276" s="11" t="n">
        <v>0</v>
      </c>
      <c r="I276" s="11" t="n">
        <v>-0.000251223794597966</v>
      </c>
      <c r="J276" s="15" t="n">
        <v>1.00061806828573</v>
      </c>
      <c r="K276" s="2" t="s">
        <v>775</v>
      </c>
    </row>
    <row r="277" customFormat="false" ht="46.25" hidden="false" customHeight="false" outlineLevel="0" collapsed="false">
      <c r="A277" s="5" t="s">
        <v>754</v>
      </c>
      <c r="B277" s="2" t="s">
        <v>418</v>
      </c>
      <c r="C277" s="5" t="s">
        <v>642</v>
      </c>
      <c r="D277" s="11" t="n">
        <v>0.1</v>
      </c>
      <c r="E277" s="11" t="n">
        <v>-0.000301450507454337</v>
      </c>
      <c r="F277" s="11" t="n">
        <v>-0.000301450507454337</v>
      </c>
      <c r="G277" s="11" t="n">
        <v>0.999990003014505</v>
      </c>
      <c r="H277" s="11" t="n">
        <v>0</v>
      </c>
      <c r="I277" s="11" t="n">
        <v>-0.000301450507454226</v>
      </c>
      <c r="J277" s="15" t="n">
        <v>1.00074170958358</v>
      </c>
      <c r="K277" s="2" t="s">
        <v>775</v>
      </c>
    </row>
    <row r="278" customFormat="false" ht="46.25" hidden="false" customHeight="false" outlineLevel="0" collapsed="false">
      <c r="A278" s="5" t="s">
        <v>754</v>
      </c>
      <c r="B278" s="2" t="s">
        <v>418</v>
      </c>
      <c r="C278" s="5" t="s">
        <v>645</v>
      </c>
      <c r="D278" s="11" t="n">
        <v>0.9</v>
      </c>
      <c r="E278" s="11" t="n">
        <v>-0.999999999</v>
      </c>
      <c r="F278" s="11" t="n">
        <v>-0.999999999</v>
      </c>
      <c r="G278" s="11" t="n">
        <v>0.99999999940951</v>
      </c>
      <c r="H278" s="11" t="n">
        <v>0</v>
      </c>
      <c r="I278" s="11" t="n">
        <v>-1.11022302462516E-016</v>
      </c>
      <c r="J278" s="15" t="n">
        <v>2.15425877799592E+033</v>
      </c>
      <c r="K278" s="2" t="s">
        <v>776</v>
      </c>
    </row>
    <row r="279" customFormat="false" ht="46.25" hidden="false" customHeight="false" outlineLevel="0" collapsed="false">
      <c r="A279" s="5" t="s">
        <v>754</v>
      </c>
      <c r="B279" s="2" t="s">
        <v>418</v>
      </c>
      <c r="C279" s="5" t="s">
        <v>645</v>
      </c>
      <c r="D279" s="11" t="n">
        <v>0.75</v>
      </c>
      <c r="E279" s="11" t="n">
        <v>-0.999999999</v>
      </c>
      <c r="F279" s="11" t="n">
        <v>-0.999999999</v>
      </c>
      <c r="G279" s="11" t="n">
        <v>0.999999999762695</v>
      </c>
      <c r="H279" s="11" t="n">
        <v>0</v>
      </c>
      <c r="I279" s="11" t="n">
        <v>-1.11022302462516E-016</v>
      </c>
      <c r="J279" s="15" t="n">
        <v>2.1539949964443E+033</v>
      </c>
      <c r="K279" s="2" t="s">
        <v>776</v>
      </c>
    </row>
    <row r="280" customFormat="false" ht="46.25" hidden="false" customHeight="false" outlineLevel="0" collapsed="false">
      <c r="A280" s="5" t="s">
        <v>754</v>
      </c>
      <c r="B280" s="2" t="s">
        <v>418</v>
      </c>
      <c r="C280" s="5" t="s">
        <v>645</v>
      </c>
      <c r="D280" s="11" t="n">
        <v>0.5</v>
      </c>
      <c r="E280" s="11" t="n">
        <v>-0.999999999</v>
      </c>
      <c r="F280" s="11" t="n">
        <v>-0.999999999</v>
      </c>
      <c r="G280" s="11" t="n">
        <v>0.99999999996875</v>
      </c>
      <c r="H280" s="11" t="n">
        <v>0</v>
      </c>
      <c r="I280" s="11" t="n">
        <v>-2.22044604925031E-016</v>
      </c>
      <c r="J280" s="15" t="n">
        <v>2.15355557069972E+033</v>
      </c>
      <c r="K280" s="2" t="s">
        <v>776</v>
      </c>
    </row>
    <row r="281" customFormat="false" ht="46.25" hidden="false" customHeight="false" outlineLevel="0" collapsed="false">
      <c r="A281" s="5" t="s">
        <v>754</v>
      </c>
      <c r="B281" s="2" t="s">
        <v>418</v>
      </c>
      <c r="C281" s="5" t="s">
        <v>645</v>
      </c>
      <c r="D281" s="11" t="n">
        <v>0.25</v>
      </c>
      <c r="E281" s="11" t="n">
        <v>-0.999999999</v>
      </c>
      <c r="F281" s="11" t="n">
        <v>-0.999999999</v>
      </c>
      <c r="G281" s="11" t="n">
        <v>0.999999999999023</v>
      </c>
      <c r="H281" s="11" t="n">
        <v>0</v>
      </c>
      <c r="I281" s="11" t="n">
        <v>0</v>
      </c>
      <c r="J281" s="15" t="n">
        <v>2.15311640746958E+033</v>
      </c>
      <c r="K281" s="2" t="s">
        <v>776</v>
      </c>
    </row>
    <row r="282" customFormat="false" ht="46.25" hidden="false" customHeight="false" outlineLevel="0" collapsed="false">
      <c r="A282" s="5" t="s">
        <v>754</v>
      </c>
      <c r="B282" s="2" t="s">
        <v>418</v>
      </c>
      <c r="C282" s="5" t="s">
        <v>645</v>
      </c>
      <c r="D282" s="11" t="n">
        <v>0.1</v>
      </c>
      <c r="E282" s="11" t="n">
        <v>-0.999999999</v>
      </c>
      <c r="F282" s="11" t="n">
        <v>-0.999999999</v>
      </c>
      <c r="G282" s="11" t="n">
        <v>0.99999999999999</v>
      </c>
      <c r="H282" s="11" t="n">
        <v>0</v>
      </c>
      <c r="I282" s="11" t="n">
        <v>0</v>
      </c>
      <c r="J282" s="15" t="n">
        <v>2.15285303544058E+033</v>
      </c>
      <c r="K282" s="2" t="s">
        <v>776</v>
      </c>
    </row>
    <row r="283" customFormat="false" ht="35.05" hidden="false" customHeight="false" outlineLevel="0" collapsed="false">
      <c r="A283" s="5" t="s">
        <v>754</v>
      </c>
      <c r="B283" s="2" t="s">
        <v>707</v>
      </c>
      <c r="C283" s="5" t="s">
        <v>642</v>
      </c>
      <c r="D283" s="11" t="n">
        <v>0.9</v>
      </c>
      <c r="E283" s="11" t="n">
        <v>-0.1</v>
      </c>
      <c r="F283" s="11" t="n">
        <v>-0.1</v>
      </c>
      <c r="I283" s="11" t="n">
        <v>-0.1</v>
      </c>
      <c r="L283" s="2" t="s">
        <v>708</v>
      </c>
    </row>
    <row r="284" customFormat="false" ht="35.05" hidden="false" customHeight="false" outlineLevel="0" collapsed="false">
      <c r="A284" s="5" t="s">
        <v>754</v>
      </c>
      <c r="B284" s="2" t="s">
        <v>707</v>
      </c>
      <c r="C284" s="5" t="s">
        <v>642</v>
      </c>
      <c r="D284" s="11" t="n">
        <v>0.75</v>
      </c>
      <c r="E284" s="11" t="n">
        <v>-0.25</v>
      </c>
      <c r="F284" s="11" t="n">
        <v>-0.25</v>
      </c>
      <c r="I284" s="11" t="n">
        <v>-0.25</v>
      </c>
      <c r="L284" s="2" t="s">
        <v>708</v>
      </c>
    </row>
    <row r="285" customFormat="false" ht="35.05" hidden="false" customHeight="false" outlineLevel="0" collapsed="false">
      <c r="A285" s="5" t="s">
        <v>754</v>
      </c>
      <c r="B285" s="2" t="s">
        <v>707</v>
      </c>
      <c r="C285" s="5" t="s">
        <v>642</v>
      </c>
      <c r="D285" s="11" t="n">
        <v>0.5</v>
      </c>
      <c r="E285" s="11" t="n">
        <v>-0.5</v>
      </c>
      <c r="F285" s="11" t="n">
        <v>-0.5</v>
      </c>
      <c r="I285" s="11" t="n">
        <v>-0.5</v>
      </c>
      <c r="L285" s="2" t="s">
        <v>708</v>
      </c>
    </row>
    <row r="286" customFormat="false" ht="35.05" hidden="false" customHeight="false" outlineLevel="0" collapsed="false">
      <c r="A286" s="5" t="s">
        <v>754</v>
      </c>
      <c r="B286" s="2" t="s">
        <v>707</v>
      </c>
      <c r="C286" s="5" t="s">
        <v>642</v>
      </c>
      <c r="D286" s="11" t="n">
        <v>0.25</v>
      </c>
      <c r="E286" s="11" t="n">
        <v>-0.75</v>
      </c>
      <c r="F286" s="11" t="n">
        <v>-0.75</v>
      </c>
      <c r="I286" s="11" t="n">
        <v>-0.75</v>
      </c>
      <c r="L286" s="2" t="s">
        <v>708</v>
      </c>
    </row>
    <row r="287" customFormat="false" ht="35.05" hidden="false" customHeight="false" outlineLevel="0" collapsed="false">
      <c r="A287" s="5" t="s">
        <v>754</v>
      </c>
      <c r="B287" s="2" t="s">
        <v>707</v>
      </c>
      <c r="C287" s="5" t="s">
        <v>642</v>
      </c>
      <c r="D287" s="11" t="n">
        <v>0.1</v>
      </c>
      <c r="E287" s="11" t="n">
        <v>-0.9</v>
      </c>
      <c r="F287" s="11" t="n">
        <v>-0.9</v>
      </c>
      <c r="I287" s="11" t="n">
        <v>-0.9</v>
      </c>
      <c r="L287" s="2" t="s">
        <v>708</v>
      </c>
    </row>
    <row r="288" customFormat="false" ht="35.05" hidden="false" customHeight="false" outlineLevel="0" collapsed="false">
      <c r="A288" s="5" t="s">
        <v>754</v>
      </c>
      <c r="B288" s="2" t="s">
        <v>707</v>
      </c>
      <c r="C288" s="5" t="s">
        <v>645</v>
      </c>
      <c r="D288" s="11" t="n">
        <v>0.9</v>
      </c>
      <c r="E288" s="11" t="n">
        <v>-1</v>
      </c>
      <c r="F288" s="11" t="n">
        <v>-1</v>
      </c>
      <c r="I288" s="11" t="n">
        <v>-0.1</v>
      </c>
      <c r="L288" s="2" t="s">
        <v>708</v>
      </c>
    </row>
    <row r="289" customFormat="false" ht="35.05" hidden="false" customHeight="false" outlineLevel="0" collapsed="false">
      <c r="A289" s="5" t="s">
        <v>754</v>
      </c>
      <c r="B289" s="2" t="s">
        <v>707</v>
      </c>
      <c r="C289" s="5" t="s">
        <v>645</v>
      </c>
      <c r="D289" s="11" t="n">
        <v>0.75</v>
      </c>
      <c r="E289" s="11" t="n">
        <v>-1</v>
      </c>
      <c r="F289" s="11" t="n">
        <v>-1</v>
      </c>
      <c r="I289" s="11" t="n">
        <v>-0.25</v>
      </c>
      <c r="L289" s="2" t="s">
        <v>708</v>
      </c>
    </row>
    <row r="290" customFormat="false" ht="35.05" hidden="false" customHeight="false" outlineLevel="0" collapsed="false">
      <c r="A290" s="5" t="s">
        <v>754</v>
      </c>
      <c r="B290" s="2" t="s">
        <v>707</v>
      </c>
      <c r="C290" s="5" t="s">
        <v>645</v>
      </c>
      <c r="D290" s="11" t="n">
        <v>0.5</v>
      </c>
      <c r="E290" s="11" t="n">
        <v>-1</v>
      </c>
      <c r="F290" s="11" t="n">
        <v>-1</v>
      </c>
      <c r="I290" s="11" t="n">
        <v>-0.5</v>
      </c>
      <c r="L290" s="2" t="s">
        <v>708</v>
      </c>
    </row>
    <row r="291" customFormat="false" ht="35.05" hidden="false" customHeight="false" outlineLevel="0" collapsed="false">
      <c r="A291" s="5" t="s">
        <v>754</v>
      </c>
      <c r="B291" s="2" t="s">
        <v>707</v>
      </c>
      <c r="C291" s="5" t="s">
        <v>645</v>
      </c>
      <c r="D291" s="11" t="n">
        <v>0.25</v>
      </c>
      <c r="E291" s="11" t="n">
        <v>-1</v>
      </c>
      <c r="F291" s="11" t="n">
        <v>-1</v>
      </c>
      <c r="I291" s="11" t="n">
        <v>-0.75</v>
      </c>
      <c r="L291" s="2" t="s">
        <v>708</v>
      </c>
    </row>
    <row r="292" customFormat="false" ht="35.05" hidden="false" customHeight="false" outlineLevel="0" collapsed="false">
      <c r="A292" s="5" t="s">
        <v>754</v>
      </c>
      <c r="B292" s="2" t="s">
        <v>707</v>
      </c>
      <c r="C292" s="5" t="s">
        <v>645</v>
      </c>
      <c r="D292" s="11" t="n">
        <v>0.1</v>
      </c>
      <c r="E292" s="11" t="n">
        <v>-1</v>
      </c>
      <c r="F292" s="11" t="n">
        <v>-1</v>
      </c>
      <c r="I292" s="11" t="n">
        <v>-0.9</v>
      </c>
      <c r="L292" s="2" t="s">
        <v>708</v>
      </c>
    </row>
    <row r="293" customFormat="false" ht="46.25" hidden="false" customHeight="false" outlineLevel="0" collapsed="false">
      <c r="A293" s="5" t="s">
        <v>777</v>
      </c>
      <c r="B293" s="2" t="s">
        <v>408</v>
      </c>
      <c r="C293" s="5" t="s">
        <v>642</v>
      </c>
      <c r="D293" s="11" t="n">
        <v>0.9</v>
      </c>
      <c r="E293" s="11" t="n">
        <v>-0.0999513326262667</v>
      </c>
      <c r="F293" s="11" t="n">
        <v>-0.119836258965544</v>
      </c>
      <c r="G293" s="11" t="n">
        <v>0.144521791907335</v>
      </c>
      <c r="H293" s="11" t="n">
        <v>0</v>
      </c>
      <c r="I293" s="11" t="n">
        <v>-0.0999513326262665</v>
      </c>
      <c r="J293" s="15" t="n">
        <v>1.09390931521043</v>
      </c>
      <c r="K293" s="2" t="s">
        <v>778</v>
      </c>
    </row>
    <row r="294" customFormat="false" ht="46.25" hidden="false" customHeight="false" outlineLevel="0" collapsed="false">
      <c r="A294" s="5" t="s">
        <v>777</v>
      </c>
      <c r="B294" s="2" t="s">
        <v>408</v>
      </c>
      <c r="C294" s="5" t="s">
        <v>642</v>
      </c>
      <c r="D294" s="11" t="n">
        <v>0.75</v>
      </c>
      <c r="E294" s="11" t="n">
        <v>-0.249875931573937</v>
      </c>
      <c r="F294" s="11" t="n">
        <v>-0.296254112485931</v>
      </c>
      <c r="G294" s="11" t="n">
        <v>0.348847951617814</v>
      </c>
      <c r="H294" s="11" t="n">
        <v>0</v>
      </c>
      <c r="I294" s="11" t="n">
        <v>-0.249875931573937</v>
      </c>
      <c r="J294" s="15" t="n">
        <v>1.28220731299014</v>
      </c>
      <c r="K294" s="2" t="s">
        <v>779</v>
      </c>
    </row>
    <row r="295" customFormat="false" ht="46.25" hidden="false" customHeight="false" outlineLevel="0" collapsed="false">
      <c r="A295" s="5" t="s">
        <v>777</v>
      </c>
      <c r="B295" s="2" t="s">
        <v>408</v>
      </c>
      <c r="C295" s="5" t="s">
        <v>642</v>
      </c>
      <c r="D295" s="11" t="n">
        <v>0.5</v>
      </c>
      <c r="E295" s="11" t="n">
        <v>-0.446282219725237</v>
      </c>
      <c r="F295" s="11" t="n">
        <v>-0.999999998529412</v>
      </c>
      <c r="G295" s="11" t="n">
        <v>0.999999998780412</v>
      </c>
      <c r="H295" s="11" t="n">
        <v>0</v>
      </c>
      <c r="I295" s="11" t="n">
        <v>-0.446282219725237</v>
      </c>
      <c r="J295" s="15" t="n">
        <v>1.12549172470112</v>
      </c>
      <c r="K295" s="2" t="s">
        <v>780</v>
      </c>
    </row>
    <row r="296" customFormat="false" ht="46.25" hidden="false" customHeight="false" outlineLevel="0" collapsed="false">
      <c r="A296" s="5" t="s">
        <v>777</v>
      </c>
      <c r="B296" s="2" t="s">
        <v>408</v>
      </c>
      <c r="C296" s="5" t="s">
        <v>642</v>
      </c>
      <c r="D296" s="11" t="n">
        <v>0.25</v>
      </c>
      <c r="E296" s="11" t="n">
        <v>-0.446282219725237</v>
      </c>
      <c r="F296" s="11" t="n">
        <v>-0.999999998529412</v>
      </c>
      <c r="G296" s="11" t="n">
        <v>0.999999998988572</v>
      </c>
      <c r="H296" s="11" t="n">
        <v>0</v>
      </c>
      <c r="I296" s="11" t="n">
        <v>-0.446282219725237</v>
      </c>
      <c r="J296" s="15" t="n">
        <v>1.12549172470112</v>
      </c>
      <c r="K296" s="2" t="s">
        <v>780</v>
      </c>
    </row>
    <row r="297" customFormat="false" ht="46.25" hidden="false" customHeight="false" outlineLevel="0" collapsed="false">
      <c r="A297" s="5" t="s">
        <v>777</v>
      </c>
      <c r="B297" s="2" t="s">
        <v>408</v>
      </c>
      <c r="C297" s="5" t="s">
        <v>642</v>
      </c>
      <c r="D297" s="11" t="n">
        <v>0.1</v>
      </c>
      <c r="E297" s="11" t="n">
        <v>-0.446282219725237</v>
      </c>
      <c r="F297" s="11" t="n">
        <v>-0.999999998529412</v>
      </c>
      <c r="G297" s="11" t="n">
        <v>0.999999999210247</v>
      </c>
      <c r="H297" s="11" t="n">
        <v>0</v>
      </c>
      <c r="I297" s="11" t="n">
        <v>-0.446282219725237</v>
      </c>
      <c r="J297" s="15" t="n">
        <v>1.12549172470112</v>
      </c>
      <c r="K297" s="2" t="s">
        <v>780</v>
      </c>
    </row>
    <row r="298" customFormat="false" ht="46.25" hidden="false" customHeight="false" outlineLevel="0" collapsed="false">
      <c r="A298" s="5" t="s">
        <v>777</v>
      </c>
      <c r="B298" s="2" t="s">
        <v>408</v>
      </c>
      <c r="C298" s="5" t="s">
        <v>645</v>
      </c>
      <c r="D298" s="11" t="n">
        <v>0.9</v>
      </c>
      <c r="E298" s="11" t="n">
        <v>-0.679969896169699</v>
      </c>
      <c r="F298" s="11" t="n">
        <v>-0.999999998529412</v>
      </c>
      <c r="G298" s="11" t="n">
        <v>0.999999998570657</v>
      </c>
      <c r="H298" s="11" t="n">
        <v>0</v>
      </c>
      <c r="I298" s="11" t="n">
        <v>-1.11022302462516E-016</v>
      </c>
      <c r="J298" s="15" t="n">
        <v>1.25591958665011</v>
      </c>
      <c r="K298" s="2" t="s">
        <v>758</v>
      </c>
    </row>
    <row r="299" customFormat="false" ht="46.25" hidden="false" customHeight="false" outlineLevel="0" collapsed="false">
      <c r="A299" s="5" t="s">
        <v>777</v>
      </c>
      <c r="B299" s="2" t="s">
        <v>408</v>
      </c>
      <c r="C299" s="5" t="s">
        <v>645</v>
      </c>
      <c r="D299" s="11" t="n">
        <v>0.75</v>
      </c>
      <c r="E299" s="11" t="n">
        <v>-0.679969896169699</v>
      </c>
      <c r="F299" s="11" t="n">
        <v>-0.999999998529412</v>
      </c>
      <c r="G299" s="11" t="n">
        <v>0.999999998639315</v>
      </c>
      <c r="H299" s="11" t="n">
        <v>0</v>
      </c>
      <c r="I299" s="11" t="n">
        <v>-1.11022302462516E-016</v>
      </c>
      <c r="J299" s="15" t="n">
        <v>1.25591958665011</v>
      </c>
      <c r="K299" s="2" t="s">
        <v>758</v>
      </c>
    </row>
    <row r="300" customFormat="false" ht="46.25" hidden="false" customHeight="false" outlineLevel="0" collapsed="false">
      <c r="A300" s="5" t="s">
        <v>777</v>
      </c>
      <c r="B300" s="2" t="s">
        <v>408</v>
      </c>
      <c r="C300" s="5" t="s">
        <v>645</v>
      </c>
      <c r="D300" s="11" t="n">
        <v>0.5</v>
      </c>
      <c r="E300" s="11" t="n">
        <v>-0.679969896169699</v>
      </c>
      <c r="F300" s="11" t="n">
        <v>-0.999999998529412</v>
      </c>
      <c r="G300" s="11" t="n">
        <v>0.999999998780412</v>
      </c>
      <c r="H300" s="11" t="n">
        <v>0</v>
      </c>
      <c r="I300" s="11" t="n">
        <v>-1.11022302462516E-016</v>
      </c>
      <c r="J300" s="15" t="n">
        <v>1.25591958665011</v>
      </c>
      <c r="K300" s="2" t="s">
        <v>758</v>
      </c>
    </row>
    <row r="301" customFormat="false" ht="46.25" hidden="false" customHeight="false" outlineLevel="0" collapsed="false">
      <c r="A301" s="5" t="s">
        <v>777</v>
      </c>
      <c r="B301" s="2" t="s">
        <v>408</v>
      </c>
      <c r="C301" s="5" t="s">
        <v>645</v>
      </c>
      <c r="D301" s="11" t="n">
        <v>0.25</v>
      </c>
      <c r="E301" s="11" t="n">
        <v>-0.679969896169699</v>
      </c>
      <c r="F301" s="11" t="n">
        <v>-0.999999998529412</v>
      </c>
      <c r="G301" s="11" t="n">
        <v>0.999999998988572</v>
      </c>
      <c r="H301" s="11" t="n">
        <v>0</v>
      </c>
      <c r="I301" s="11" t="n">
        <v>-1.11022302462516E-016</v>
      </c>
      <c r="J301" s="15" t="n">
        <v>1.25591958665011</v>
      </c>
      <c r="K301" s="2" t="s">
        <v>758</v>
      </c>
    </row>
    <row r="302" customFormat="false" ht="46.25" hidden="false" customHeight="false" outlineLevel="0" collapsed="false">
      <c r="A302" s="5" t="s">
        <v>777</v>
      </c>
      <c r="B302" s="2" t="s">
        <v>408</v>
      </c>
      <c r="C302" s="5" t="s">
        <v>645</v>
      </c>
      <c r="D302" s="11" t="n">
        <v>0.1</v>
      </c>
      <c r="E302" s="11" t="n">
        <v>-0.679969896169699</v>
      </c>
      <c r="F302" s="11" t="n">
        <v>-0.999999998529412</v>
      </c>
      <c r="G302" s="11" t="n">
        <v>0.999999999210247</v>
      </c>
      <c r="H302" s="11" t="n">
        <v>0</v>
      </c>
      <c r="I302" s="11" t="n">
        <v>-1.11022302462516E-016</v>
      </c>
      <c r="J302" s="15" t="n">
        <v>1.25591958665011</v>
      </c>
      <c r="K302" s="2" t="s">
        <v>758</v>
      </c>
    </row>
    <row r="303" customFormat="false" ht="46.25" hidden="false" customHeight="false" outlineLevel="0" collapsed="false">
      <c r="A303" s="5" t="s">
        <v>777</v>
      </c>
      <c r="B303" s="2" t="s">
        <v>411</v>
      </c>
      <c r="C303" s="5" t="s">
        <v>642</v>
      </c>
      <c r="D303" s="11" t="n">
        <v>0.9</v>
      </c>
      <c r="E303" s="11" t="n">
        <v>-0.0999513326262667</v>
      </c>
      <c r="F303" s="11" t="n">
        <v>-0.0692887927895146</v>
      </c>
      <c r="G303" s="11" t="n">
        <v>0.144521791907334</v>
      </c>
      <c r="H303" s="11" t="n">
        <v>0</v>
      </c>
      <c r="I303" s="11" t="n">
        <v>-0.0999513326262665</v>
      </c>
      <c r="J303" s="15" t="n">
        <v>1.60442887134619</v>
      </c>
      <c r="K303" s="2" t="s">
        <v>778</v>
      </c>
    </row>
    <row r="304" customFormat="false" ht="46.25" hidden="false" customHeight="false" outlineLevel="0" collapsed="false">
      <c r="A304" s="5" t="s">
        <v>777</v>
      </c>
      <c r="B304" s="2" t="s">
        <v>411</v>
      </c>
      <c r="C304" s="5" t="s">
        <v>642</v>
      </c>
      <c r="D304" s="11" t="n">
        <v>0.75</v>
      </c>
      <c r="E304" s="11" t="n">
        <v>-0.150838779735773</v>
      </c>
      <c r="F304" s="11" t="n">
        <v>-0.999999995117188</v>
      </c>
      <c r="G304" s="11" t="n">
        <v>0.999999996121006</v>
      </c>
      <c r="H304" s="11" t="n">
        <v>0</v>
      </c>
      <c r="I304" s="11" t="n">
        <v>-0.150838779735773</v>
      </c>
      <c r="J304" s="15" t="n">
        <v>1.03324180519155</v>
      </c>
      <c r="K304" s="2" t="s">
        <v>781</v>
      </c>
    </row>
    <row r="305" customFormat="false" ht="46.25" hidden="false" customHeight="false" outlineLevel="0" collapsed="false">
      <c r="A305" s="5" t="s">
        <v>777</v>
      </c>
      <c r="B305" s="2" t="s">
        <v>411</v>
      </c>
      <c r="C305" s="5" t="s">
        <v>642</v>
      </c>
      <c r="D305" s="11" t="n">
        <v>0.5</v>
      </c>
      <c r="E305" s="11" t="n">
        <v>-0.150838779735773</v>
      </c>
      <c r="F305" s="11" t="n">
        <v>-0.999999995117188</v>
      </c>
      <c r="G305" s="11" t="n">
        <v>0.999999997195561</v>
      </c>
      <c r="H305" s="11" t="n">
        <v>0</v>
      </c>
      <c r="I305" s="11" t="n">
        <v>-0.150838779735773</v>
      </c>
      <c r="J305" s="15" t="n">
        <v>1.03324180519155</v>
      </c>
      <c r="K305" s="2" t="s">
        <v>781</v>
      </c>
    </row>
    <row r="306" customFormat="false" ht="46.25" hidden="false" customHeight="false" outlineLevel="0" collapsed="false">
      <c r="A306" s="5" t="s">
        <v>777</v>
      </c>
      <c r="B306" s="2" t="s">
        <v>411</v>
      </c>
      <c r="C306" s="5" t="s">
        <v>645</v>
      </c>
      <c r="D306" s="11" t="n">
        <v>0.9</v>
      </c>
      <c r="E306" s="11" t="n">
        <v>-0.204794110849484</v>
      </c>
      <c r="F306" s="11" t="n">
        <v>-0.999999995117188</v>
      </c>
      <c r="G306" s="11" t="n">
        <v>0.999999995511884</v>
      </c>
      <c r="H306" s="11" t="n">
        <v>0</v>
      </c>
      <c r="I306" s="11" t="n">
        <v>0</v>
      </c>
      <c r="J306" s="15" t="n">
        <v>1.04689730655547</v>
      </c>
      <c r="K306" s="2" t="s">
        <v>760</v>
      </c>
    </row>
    <row r="307" customFormat="false" ht="46.25" hidden="false" customHeight="false" outlineLevel="0" collapsed="false">
      <c r="A307" s="5" t="s">
        <v>777</v>
      </c>
      <c r="B307" s="2" t="s">
        <v>411</v>
      </c>
      <c r="C307" s="5" t="s">
        <v>645</v>
      </c>
      <c r="D307" s="11" t="n">
        <v>0.75</v>
      </c>
      <c r="E307" s="11" t="n">
        <v>-0.204794110849484</v>
      </c>
      <c r="F307" s="11" t="n">
        <v>-0.999999995117188</v>
      </c>
      <c r="G307" s="11" t="n">
        <v>0.999999996121006</v>
      </c>
      <c r="H307" s="11" t="n">
        <v>0</v>
      </c>
      <c r="I307" s="11" t="n">
        <v>0</v>
      </c>
      <c r="J307" s="15" t="n">
        <v>1.04689730655547</v>
      </c>
      <c r="K307" s="2" t="s">
        <v>760</v>
      </c>
    </row>
    <row r="308" customFormat="false" ht="46.25" hidden="false" customHeight="false" outlineLevel="0" collapsed="false">
      <c r="A308" s="5" t="s">
        <v>777</v>
      </c>
      <c r="B308" s="2" t="s">
        <v>411</v>
      </c>
      <c r="C308" s="5" t="s">
        <v>645</v>
      </c>
      <c r="D308" s="11" t="n">
        <v>0.5</v>
      </c>
      <c r="E308" s="11" t="n">
        <v>-0.204794110849484</v>
      </c>
      <c r="F308" s="11" t="n">
        <v>-0.999999995117188</v>
      </c>
      <c r="G308" s="11" t="n">
        <v>0.999999997195561</v>
      </c>
      <c r="H308" s="11" t="n">
        <v>0</v>
      </c>
      <c r="I308" s="11" t="n">
        <v>0</v>
      </c>
      <c r="J308" s="15" t="n">
        <v>1.04689730655547</v>
      </c>
      <c r="K308" s="2" t="s">
        <v>760</v>
      </c>
    </row>
    <row r="309" customFormat="false" ht="46.25" hidden="false" customHeight="false" outlineLevel="0" collapsed="false">
      <c r="A309" s="5" t="s">
        <v>777</v>
      </c>
      <c r="B309" s="2" t="s">
        <v>414</v>
      </c>
      <c r="C309" s="5" t="s">
        <v>642</v>
      </c>
      <c r="D309" s="11" t="n">
        <v>0.9</v>
      </c>
      <c r="E309" s="11" t="n">
        <v>-0.00350003265389964</v>
      </c>
      <c r="F309" s="11" t="n">
        <v>-0.0409715084525382</v>
      </c>
      <c r="G309" s="11" t="n">
        <v>0.18116711894291</v>
      </c>
      <c r="H309" s="11" t="n">
        <v>0</v>
      </c>
      <c r="I309" s="11" t="n">
        <v>-0.00350003265389964</v>
      </c>
      <c r="J309" s="15" t="n">
        <v>1.04272188867552</v>
      </c>
      <c r="K309" s="2" t="s">
        <v>782</v>
      </c>
    </row>
    <row r="310" customFormat="false" ht="46.25" hidden="false" customHeight="false" outlineLevel="0" collapsed="false">
      <c r="A310" s="5" t="s">
        <v>777</v>
      </c>
      <c r="B310" s="2" t="s">
        <v>414</v>
      </c>
      <c r="C310" s="5" t="s">
        <v>642</v>
      </c>
      <c r="D310" s="11" t="n">
        <v>0.75</v>
      </c>
      <c r="E310" s="11" t="n">
        <v>-0.00828370951146473</v>
      </c>
      <c r="F310" s="11" t="n">
        <v>-0.0970612414295214</v>
      </c>
      <c r="G310" s="11" t="n">
        <v>0.413524072762286</v>
      </c>
      <c r="H310" s="11" t="n">
        <v>0</v>
      </c>
      <c r="I310" s="11" t="n">
        <v>-0.00828370951146484</v>
      </c>
      <c r="J310" s="15" t="n">
        <v>1.10749482233235</v>
      </c>
      <c r="K310" s="2" t="s">
        <v>783</v>
      </c>
    </row>
    <row r="311" customFormat="false" ht="46.25" hidden="false" customHeight="false" outlineLevel="0" collapsed="false">
      <c r="A311" s="5" t="s">
        <v>777</v>
      </c>
      <c r="B311" s="2" t="s">
        <v>414</v>
      </c>
      <c r="C311" s="5" t="s">
        <v>642</v>
      </c>
      <c r="D311" s="11" t="n">
        <v>0.5</v>
      </c>
      <c r="E311" s="11" t="n">
        <v>-0.0151976286403051</v>
      </c>
      <c r="F311" s="11" t="n">
        <v>-0.178318486108064</v>
      </c>
      <c r="G311" s="11" t="n">
        <v>0.709491714775692</v>
      </c>
      <c r="H311" s="11" t="n">
        <v>0</v>
      </c>
      <c r="I311" s="11" t="n">
        <v>-0.0151976286403051</v>
      </c>
      <c r="J311" s="15" t="n">
        <v>1.21701654849633</v>
      </c>
      <c r="K311" s="2" t="s">
        <v>784</v>
      </c>
    </row>
    <row r="312" customFormat="false" ht="46.25" hidden="false" customHeight="false" outlineLevel="0" collapsed="false">
      <c r="A312" s="5" t="s">
        <v>777</v>
      </c>
      <c r="B312" s="2" t="s">
        <v>414</v>
      </c>
      <c r="C312" s="5" t="s">
        <v>642</v>
      </c>
      <c r="D312" s="11" t="n">
        <v>0.35</v>
      </c>
      <c r="E312" s="11" t="n">
        <v>-0.0188123707545524</v>
      </c>
      <c r="F312" s="11" t="n">
        <v>-0.220892045258118</v>
      </c>
      <c r="G312" s="11" t="n">
        <v>0.838675731303481</v>
      </c>
      <c r="H312" s="11" t="n">
        <v>0</v>
      </c>
      <c r="I312" s="11" t="n">
        <v>-0.0188123707545523</v>
      </c>
      <c r="J312" s="15" t="n">
        <v>1.28351917589046</v>
      </c>
      <c r="K312" s="2" t="s">
        <v>785</v>
      </c>
    </row>
    <row r="313" customFormat="false" ht="46.25" hidden="false" customHeight="false" outlineLevel="0" collapsed="false">
      <c r="A313" s="5" t="s">
        <v>777</v>
      </c>
      <c r="B313" s="2" t="s">
        <v>414</v>
      </c>
      <c r="C313" s="5" t="s">
        <v>645</v>
      </c>
      <c r="D313" s="11" t="n">
        <v>0.9</v>
      </c>
      <c r="E313" s="11" t="n">
        <v>-0.00526573374662642</v>
      </c>
      <c r="F313" s="11" t="n">
        <v>-0.0457107764495621</v>
      </c>
      <c r="G313" s="11" t="n">
        <v>0.185213576897296</v>
      </c>
      <c r="H313" s="11" t="n">
        <v>0</v>
      </c>
      <c r="I313" s="11" t="n">
        <v>0</v>
      </c>
      <c r="J313" s="15" t="n">
        <v>1.04790033809613</v>
      </c>
      <c r="K313" s="2" t="s">
        <v>786</v>
      </c>
    </row>
    <row r="314" customFormat="false" ht="46.25" hidden="false" customHeight="false" outlineLevel="0" collapsed="false">
      <c r="A314" s="5" t="s">
        <v>777</v>
      </c>
      <c r="B314" s="2" t="s">
        <v>414</v>
      </c>
      <c r="C314" s="5" t="s">
        <v>645</v>
      </c>
      <c r="D314" s="11" t="n">
        <v>0.75</v>
      </c>
      <c r="E314" s="11" t="n">
        <v>-0.0123196327983446</v>
      </c>
      <c r="F314" s="11" t="n">
        <v>-0.106944265315402</v>
      </c>
      <c r="G314" s="11" t="n">
        <v>0.419943285075822</v>
      </c>
      <c r="H314" s="11" t="n">
        <v>0</v>
      </c>
      <c r="I314" s="11" t="n">
        <v>0</v>
      </c>
      <c r="J314" s="15" t="n">
        <v>1.11975094180787</v>
      </c>
      <c r="K314" s="2" t="s">
        <v>787</v>
      </c>
    </row>
    <row r="315" customFormat="false" ht="46.25" hidden="false" customHeight="false" outlineLevel="0" collapsed="false">
      <c r="A315" s="5" t="s">
        <v>777</v>
      </c>
      <c r="B315" s="2" t="s">
        <v>414</v>
      </c>
      <c r="C315" s="5" t="s">
        <v>645</v>
      </c>
      <c r="D315" s="11" t="n">
        <v>0.5</v>
      </c>
      <c r="E315" s="11" t="n">
        <v>-0.0222588299069604</v>
      </c>
      <c r="F315" s="11" t="n">
        <v>-0.193224475635856</v>
      </c>
      <c r="G315" s="11" t="n">
        <v>0.714761777913391</v>
      </c>
      <c r="H315" s="11" t="n">
        <v>0</v>
      </c>
      <c r="I315" s="11" t="n">
        <v>0</v>
      </c>
      <c r="J315" s="15" t="n">
        <v>1.23950215369777</v>
      </c>
      <c r="K315" s="2" t="s">
        <v>766</v>
      </c>
    </row>
    <row r="316" customFormat="false" ht="46.25" hidden="false" customHeight="false" outlineLevel="0" collapsed="false">
      <c r="A316" s="5" t="s">
        <v>777</v>
      </c>
      <c r="B316" s="2" t="s">
        <v>414</v>
      </c>
      <c r="C316" s="5" t="s">
        <v>645</v>
      </c>
      <c r="D316" s="11" t="n">
        <v>0.35</v>
      </c>
      <c r="E316" s="11" t="n">
        <v>-0.0273510231013487</v>
      </c>
      <c r="F316" s="11" t="n">
        <v>-0.237428812335205</v>
      </c>
      <c r="G316" s="11" t="n">
        <v>0.842099880471872</v>
      </c>
      <c r="H316" s="11" t="n">
        <v>0</v>
      </c>
      <c r="I316" s="11" t="n">
        <v>-1.11022302462516E-016</v>
      </c>
      <c r="J316" s="15" t="n">
        <v>1.31135298077846</v>
      </c>
      <c r="K316" s="2" t="s">
        <v>788</v>
      </c>
    </row>
    <row r="317" customFormat="false" ht="46.25" hidden="false" customHeight="false" outlineLevel="0" collapsed="false">
      <c r="A317" s="5" t="s">
        <v>777</v>
      </c>
      <c r="B317" s="2" t="s">
        <v>416</v>
      </c>
      <c r="C317" s="5" t="s">
        <v>642</v>
      </c>
      <c r="D317" s="11" t="n">
        <v>0.9</v>
      </c>
      <c r="E317" s="11" t="n">
        <v>-0.0167434427997764</v>
      </c>
      <c r="F317" s="11" t="n">
        <v>-0.196517045192608</v>
      </c>
      <c r="G317" s="11" t="n">
        <v>0.276865340673347</v>
      </c>
      <c r="H317" s="11" t="n">
        <v>0</v>
      </c>
      <c r="I317" s="11" t="n">
        <v>-0.0167434427997762</v>
      </c>
      <c r="J317" s="15" t="n">
        <v>1.15704137150626</v>
      </c>
      <c r="K317" s="2" t="s">
        <v>789</v>
      </c>
    </row>
    <row r="318" customFormat="false" ht="46.25" hidden="false" customHeight="false" outlineLevel="0" collapsed="false">
      <c r="A318" s="5" t="s">
        <v>777</v>
      </c>
      <c r="B318" s="2" t="s">
        <v>416</v>
      </c>
      <c r="C318" s="5" t="s">
        <v>642</v>
      </c>
      <c r="D318" s="11" t="n">
        <v>0.75</v>
      </c>
      <c r="E318" s="11" t="n">
        <v>-0.0344788946971135</v>
      </c>
      <c r="F318" s="11" t="n">
        <v>-0.406144058484427</v>
      </c>
      <c r="G318" s="11" t="n">
        <v>0.55460804386332</v>
      </c>
      <c r="H318" s="11" t="n">
        <v>0</v>
      </c>
      <c r="I318" s="11" t="n">
        <v>-0.0344788946971134</v>
      </c>
      <c r="J318" s="15" t="n">
        <v>1.41540023282824</v>
      </c>
      <c r="K318" s="2" t="s">
        <v>790</v>
      </c>
    </row>
    <row r="319" customFormat="false" ht="46.25" hidden="false" customHeight="false" outlineLevel="0" collapsed="false">
      <c r="A319" s="5" t="s">
        <v>777</v>
      </c>
      <c r="B319" s="2" t="s">
        <v>416</v>
      </c>
      <c r="C319" s="5" t="s">
        <v>642</v>
      </c>
      <c r="D319" s="11" t="n">
        <v>0.5</v>
      </c>
      <c r="E319" s="11" t="n">
        <v>-0.0518648859832165</v>
      </c>
      <c r="F319" s="11" t="n">
        <v>-0.613173618892924</v>
      </c>
      <c r="G319" s="11" t="n">
        <v>0.806586809446462</v>
      </c>
      <c r="H319" s="11" t="n">
        <v>0</v>
      </c>
      <c r="I319" s="11" t="n">
        <v>-0.0518648859832165</v>
      </c>
      <c r="J319" s="15" t="n">
        <v>1.88360258074127</v>
      </c>
      <c r="K319" s="2" t="s">
        <v>791</v>
      </c>
    </row>
    <row r="320" customFormat="false" ht="46.25" hidden="false" customHeight="false" outlineLevel="0" collapsed="false">
      <c r="A320" s="5" t="s">
        <v>777</v>
      </c>
      <c r="B320" s="2" t="s">
        <v>416</v>
      </c>
      <c r="C320" s="5" t="s">
        <v>645</v>
      </c>
      <c r="D320" s="11" t="n">
        <v>0.9</v>
      </c>
      <c r="E320" s="11" t="n">
        <v>-0.0285141706351364</v>
      </c>
      <c r="F320" s="11" t="n">
        <v>-0.247525870518669</v>
      </c>
      <c r="G320" s="11" t="n">
        <v>0.322773283466802</v>
      </c>
      <c r="H320" s="11" t="n">
        <v>0</v>
      </c>
      <c r="I320" s="11" t="n">
        <v>-1.11022302462516E-016</v>
      </c>
      <c r="J320" s="15" t="n">
        <v>1.20875685822427</v>
      </c>
      <c r="K320" s="2" t="s">
        <v>792</v>
      </c>
    </row>
    <row r="321" customFormat="false" ht="46.25" hidden="false" customHeight="false" outlineLevel="0" collapsed="false">
      <c r="A321" s="5" t="s">
        <v>777</v>
      </c>
      <c r="B321" s="2" t="s">
        <v>416</v>
      </c>
      <c r="C321" s="5" t="s">
        <v>645</v>
      </c>
      <c r="D321" s="11" t="n">
        <v>0.75</v>
      </c>
      <c r="E321" s="11" t="n">
        <v>-0.0538399277251629</v>
      </c>
      <c r="F321" s="11" t="n">
        <v>-0.467373962291014</v>
      </c>
      <c r="G321" s="11" t="n">
        <v>0.60053047171826</v>
      </c>
      <c r="H321" s="11" t="n">
        <v>0</v>
      </c>
      <c r="I321" s="11" t="n">
        <v>0</v>
      </c>
      <c r="J321" s="15" t="n">
        <v>1.52189633474579</v>
      </c>
      <c r="K321" s="2" t="s">
        <v>774</v>
      </c>
    </row>
    <row r="322" customFormat="false" ht="46.25" hidden="false" customHeight="false" outlineLevel="0" collapsed="false">
      <c r="A322" s="5" t="s">
        <v>777</v>
      </c>
      <c r="B322" s="2" t="s">
        <v>416</v>
      </c>
      <c r="C322" s="5" t="s">
        <v>645</v>
      </c>
      <c r="D322" s="11" t="n">
        <v>0.5</v>
      </c>
      <c r="E322" s="11" t="n">
        <v>-0.0757706961582072</v>
      </c>
      <c r="F322" s="11" t="n">
        <v>-0.657750971431235</v>
      </c>
      <c r="G322" s="11" t="n">
        <v>0.828875485715618</v>
      </c>
      <c r="H322" s="11" t="n">
        <v>0</v>
      </c>
      <c r="I322" s="11" t="n">
        <v>0</v>
      </c>
      <c r="J322" s="15" t="n">
        <v>2.0438005762032</v>
      </c>
      <c r="K322" s="2" t="s">
        <v>793</v>
      </c>
    </row>
    <row r="323" customFormat="false" ht="46.25" hidden="false" customHeight="false" outlineLevel="0" collapsed="false">
      <c r="A323" s="5" t="s">
        <v>777</v>
      </c>
      <c r="B323" s="2" t="s">
        <v>418</v>
      </c>
      <c r="C323" s="5" t="s">
        <v>642</v>
      </c>
      <c r="D323" s="11" t="n">
        <v>0.9</v>
      </c>
      <c r="E323" s="11" t="n">
        <v>-1.29545228477745E-005</v>
      </c>
      <c r="F323" s="11" t="n">
        <v>-1.29545228477745E-005</v>
      </c>
      <c r="G323" s="11" t="n">
        <v>0.409517649516196</v>
      </c>
      <c r="H323" s="11" t="n">
        <v>0</v>
      </c>
      <c r="I323" s="11" t="n">
        <v>-1.29545228478856E-005</v>
      </c>
      <c r="J323" s="15" t="n">
        <v>1.00003047255292</v>
      </c>
      <c r="K323" s="2" t="s">
        <v>775</v>
      </c>
    </row>
    <row r="324" customFormat="false" ht="46.25" hidden="false" customHeight="false" outlineLevel="0" collapsed="false">
      <c r="A324" s="5" t="s">
        <v>777</v>
      </c>
      <c r="B324" s="2" t="s">
        <v>418</v>
      </c>
      <c r="C324" s="5" t="s">
        <v>642</v>
      </c>
      <c r="D324" s="11" t="n">
        <v>0.75</v>
      </c>
      <c r="E324" s="11" t="n">
        <v>-3.23860350959215E-005</v>
      </c>
      <c r="F324" s="11" t="n">
        <v>-3.23860350959215E-005</v>
      </c>
      <c r="G324" s="11" t="n">
        <v>0.762702997857938</v>
      </c>
      <c r="H324" s="11" t="n">
        <v>0</v>
      </c>
      <c r="I324" s="11" t="n">
        <v>-3.23860350960326E-005</v>
      </c>
      <c r="J324" s="15" t="n">
        <v>1.00007618350939</v>
      </c>
      <c r="K324" s="2" t="s">
        <v>775</v>
      </c>
    </row>
    <row r="325" customFormat="false" ht="46.25" hidden="false" customHeight="false" outlineLevel="0" collapsed="false">
      <c r="A325" s="5" t="s">
        <v>777</v>
      </c>
      <c r="B325" s="2" t="s">
        <v>418</v>
      </c>
      <c r="C325" s="5" t="s">
        <v>642</v>
      </c>
      <c r="D325" s="11" t="n">
        <v>0.5</v>
      </c>
      <c r="E325" s="11" t="n">
        <v>-6.47698726725654E-005</v>
      </c>
      <c r="F325" s="11" t="n">
        <v>-6.47698726725654E-005</v>
      </c>
      <c r="G325" s="11" t="n">
        <v>0.968752024058521</v>
      </c>
      <c r="H325" s="11" t="n">
        <v>0</v>
      </c>
      <c r="I325" s="11" t="n">
        <v>-6.47698726724544E-005</v>
      </c>
      <c r="J325" s="15" t="n">
        <v>1.00015237107253</v>
      </c>
      <c r="K325" s="2" t="s">
        <v>775</v>
      </c>
    </row>
    <row r="326" customFormat="false" ht="46.25" hidden="false" customHeight="false" outlineLevel="0" collapsed="false">
      <c r="A326" s="5" t="s">
        <v>777</v>
      </c>
      <c r="B326" s="2" t="s">
        <v>418</v>
      </c>
      <c r="C326" s="5" t="s">
        <v>642</v>
      </c>
      <c r="D326" s="11" t="n">
        <v>0.25</v>
      </c>
      <c r="E326" s="11" t="n">
        <v>-9.71511902070343E-005</v>
      </c>
      <c r="F326" s="11" t="n">
        <v>-9.71511902070343E-005</v>
      </c>
      <c r="G326" s="11" t="n">
        <v>0.999023532374209</v>
      </c>
      <c r="H326" s="11" t="n">
        <v>0</v>
      </c>
      <c r="I326" s="11" t="n">
        <v>-9.71511902069233E-005</v>
      </c>
      <c r="J326" s="15" t="n">
        <v>1.00022856193012</v>
      </c>
      <c r="K326" s="2" t="s">
        <v>775</v>
      </c>
    </row>
    <row r="327" customFormat="false" ht="46.25" hidden="false" customHeight="false" outlineLevel="0" collapsed="false">
      <c r="A327" s="5" t="s">
        <v>777</v>
      </c>
      <c r="B327" s="2" t="s">
        <v>418</v>
      </c>
      <c r="C327" s="5" t="s">
        <v>642</v>
      </c>
      <c r="D327" s="11" t="n">
        <v>0.1</v>
      </c>
      <c r="E327" s="11" t="n">
        <v>-0.000116578771188092</v>
      </c>
      <c r="F327" s="11" t="n">
        <v>-0.000116578771188092</v>
      </c>
      <c r="G327" s="11" t="n">
        <v>0.999990001165788</v>
      </c>
      <c r="H327" s="11" t="n">
        <v>0</v>
      </c>
      <c r="I327" s="11" t="n">
        <v>-0.000116578771188092</v>
      </c>
      <c r="J327" s="15" t="n">
        <v>1.00027427802592</v>
      </c>
      <c r="K327" s="2" t="s">
        <v>775</v>
      </c>
    </row>
    <row r="328" customFormat="false" ht="46.25" hidden="false" customHeight="false" outlineLevel="0" collapsed="false">
      <c r="A328" s="5" t="s">
        <v>777</v>
      </c>
      <c r="B328" s="2" t="s">
        <v>418</v>
      </c>
      <c r="C328" s="5" t="s">
        <v>645</v>
      </c>
      <c r="D328" s="11" t="n">
        <v>0.9</v>
      </c>
      <c r="E328" s="11" t="n">
        <v>-0.999999999</v>
      </c>
      <c r="F328" s="11" t="n">
        <v>-0.999999999</v>
      </c>
      <c r="G328" s="11" t="n">
        <v>0.99999999940951</v>
      </c>
      <c r="H328" s="11" t="n">
        <v>0</v>
      </c>
      <c r="I328" s="11" t="n">
        <v>-1.11022302462516E-016</v>
      </c>
      <c r="J328" s="15" t="n">
        <v>2.15436851559618E+033</v>
      </c>
      <c r="K328" s="2" t="s">
        <v>776</v>
      </c>
    </row>
    <row r="329" customFormat="false" ht="46.25" hidden="false" customHeight="false" outlineLevel="0" collapsed="false">
      <c r="A329" s="5" t="s">
        <v>777</v>
      </c>
      <c r="B329" s="2" t="s">
        <v>418</v>
      </c>
      <c r="C329" s="5" t="s">
        <v>645</v>
      </c>
      <c r="D329" s="11" t="n">
        <v>0.75</v>
      </c>
      <c r="E329" s="11" t="n">
        <v>-0.999999999</v>
      </c>
      <c r="F329" s="11" t="n">
        <v>-0.999999999</v>
      </c>
      <c r="G329" s="11" t="n">
        <v>0.999999999762695</v>
      </c>
      <c r="H329" s="11" t="n">
        <v>0</v>
      </c>
      <c r="I329" s="11" t="n">
        <v>-1.11022302462516E-016</v>
      </c>
      <c r="J329" s="15" t="n">
        <v>2.154269272739E+033</v>
      </c>
      <c r="K329" s="2" t="s">
        <v>776</v>
      </c>
    </row>
    <row r="330" customFormat="false" ht="46.25" hidden="false" customHeight="false" outlineLevel="0" collapsed="false">
      <c r="A330" s="5" t="s">
        <v>777</v>
      </c>
      <c r="B330" s="2" t="s">
        <v>418</v>
      </c>
      <c r="C330" s="5" t="s">
        <v>645</v>
      </c>
      <c r="D330" s="11" t="n">
        <v>0.5</v>
      </c>
      <c r="E330" s="11" t="n">
        <v>-0.999999999</v>
      </c>
      <c r="F330" s="11" t="n">
        <v>-0.999999999</v>
      </c>
      <c r="G330" s="11" t="n">
        <v>0.99999999996875</v>
      </c>
      <c r="H330" s="11" t="n">
        <v>0</v>
      </c>
      <c r="I330" s="11" t="n">
        <v>-1.11022302462516E-016</v>
      </c>
      <c r="J330" s="15" t="n">
        <v>2.15410389798265E+033</v>
      </c>
      <c r="K330" s="2" t="s">
        <v>776</v>
      </c>
    </row>
    <row r="331" customFormat="false" ht="46.25" hidden="false" customHeight="false" outlineLevel="0" collapsed="false">
      <c r="A331" s="5" t="s">
        <v>777</v>
      </c>
      <c r="B331" s="2" t="s">
        <v>418</v>
      </c>
      <c r="C331" s="5" t="s">
        <v>645</v>
      </c>
      <c r="D331" s="11" t="n">
        <v>0.25</v>
      </c>
      <c r="E331" s="11" t="n">
        <v>-0.999999999</v>
      </c>
      <c r="F331" s="11" t="n">
        <v>-0.999999999</v>
      </c>
      <c r="G331" s="11" t="n">
        <v>0.999999999999023</v>
      </c>
      <c r="H331" s="11" t="n">
        <v>0</v>
      </c>
      <c r="I331" s="11" t="n">
        <v>-2.22044604925031E-016</v>
      </c>
      <c r="J331" s="15" t="n">
        <v>2.15393856072217E+033</v>
      </c>
      <c r="K331" s="2" t="s">
        <v>776</v>
      </c>
    </row>
    <row r="332" customFormat="false" ht="46.25" hidden="false" customHeight="false" outlineLevel="0" collapsed="false">
      <c r="A332" s="5" t="s">
        <v>777</v>
      </c>
      <c r="B332" s="2" t="s">
        <v>418</v>
      </c>
      <c r="C332" s="5" t="s">
        <v>645</v>
      </c>
      <c r="D332" s="11" t="n">
        <v>0.1</v>
      </c>
      <c r="E332" s="11" t="n">
        <v>-0.999999999</v>
      </c>
      <c r="F332" s="11" t="n">
        <v>-0.999999999</v>
      </c>
      <c r="G332" s="11" t="n">
        <v>0.99999999999999</v>
      </c>
      <c r="H332" s="11" t="n">
        <v>0</v>
      </c>
      <c r="I332" s="11" t="n">
        <v>-1.11022302462516E-016</v>
      </c>
      <c r="J332" s="15" t="n">
        <v>2.15383937635859E+033</v>
      </c>
      <c r="K332" s="2" t="s">
        <v>776</v>
      </c>
    </row>
    <row r="333" customFormat="false" ht="35.05" hidden="false" customHeight="false" outlineLevel="0" collapsed="false">
      <c r="A333" s="5" t="s">
        <v>777</v>
      </c>
      <c r="B333" s="2" t="s">
        <v>707</v>
      </c>
      <c r="C333" s="5" t="s">
        <v>642</v>
      </c>
      <c r="D333" s="11" t="n">
        <v>0.9</v>
      </c>
      <c r="E333" s="11" t="n">
        <v>-0.1</v>
      </c>
      <c r="F333" s="11" t="n">
        <v>-0.1</v>
      </c>
      <c r="I333" s="11" t="n">
        <v>-0.1</v>
      </c>
      <c r="L333" s="2" t="s">
        <v>708</v>
      </c>
    </row>
    <row r="334" customFormat="false" ht="35.05" hidden="false" customHeight="false" outlineLevel="0" collapsed="false">
      <c r="A334" s="5" t="s">
        <v>777</v>
      </c>
      <c r="B334" s="2" t="s">
        <v>707</v>
      </c>
      <c r="C334" s="5" t="s">
        <v>642</v>
      </c>
      <c r="D334" s="11" t="n">
        <v>0.75</v>
      </c>
      <c r="E334" s="11" t="n">
        <v>-0.25</v>
      </c>
      <c r="F334" s="11" t="n">
        <v>-0.25</v>
      </c>
      <c r="I334" s="11" t="n">
        <v>-0.25</v>
      </c>
      <c r="L334" s="2" t="s">
        <v>708</v>
      </c>
    </row>
    <row r="335" customFormat="false" ht="35.05" hidden="false" customHeight="false" outlineLevel="0" collapsed="false">
      <c r="A335" s="5" t="s">
        <v>777</v>
      </c>
      <c r="B335" s="2" t="s">
        <v>707</v>
      </c>
      <c r="C335" s="5" t="s">
        <v>642</v>
      </c>
      <c r="D335" s="11" t="n">
        <v>0.5</v>
      </c>
      <c r="E335" s="11" t="n">
        <v>-0.5</v>
      </c>
      <c r="F335" s="11" t="n">
        <v>-0.5</v>
      </c>
      <c r="I335" s="11" t="n">
        <v>-0.5</v>
      </c>
      <c r="L335" s="2" t="s">
        <v>708</v>
      </c>
    </row>
    <row r="336" customFormat="false" ht="35.05" hidden="false" customHeight="false" outlineLevel="0" collapsed="false">
      <c r="A336" s="5" t="s">
        <v>777</v>
      </c>
      <c r="B336" s="2" t="s">
        <v>707</v>
      </c>
      <c r="C336" s="5" t="s">
        <v>642</v>
      </c>
      <c r="D336" s="11" t="n">
        <v>0.25</v>
      </c>
      <c r="E336" s="11" t="n">
        <v>-0.75</v>
      </c>
      <c r="F336" s="11" t="n">
        <v>-0.75</v>
      </c>
      <c r="I336" s="11" t="n">
        <v>-0.75</v>
      </c>
      <c r="L336" s="2" t="s">
        <v>708</v>
      </c>
    </row>
    <row r="337" customFormat="false" ht="35.05" hidden="false" customHeight="false" outlineLevel="0" collapsed="false">
      <c r="A337" s="5" t="s">
        <v>777</v>
      </c>
      <c r="B337" s="2" t="s">
        <v>707</v>
      </c>
      <c r="C337" s="5" t="s">
        <v>642</v>
      </c>
      <c r="D337" s="11" t="n">
        <v>0.1</v>
      </c>
      <c r="E337" s="11" t="n">
        <v>-0.9</v>
      </c>
      <c r="F337" s="11" t="n">
        <v>-0.9</v>
      </c>
      <c r="I337" s="11" t="n">
        <v>-0.9</v>
      </c>
      <c r="L337" s="2" t="s">
        <v>708</v>
      </c>
    </row>
    <row r="338" customFormat="false" ht="35.05" hidden="false" customHeight="false" outlineLevel="0" collapsed="false">
      <c r="A338" s="5" t="s">
        <v>777</v>
      </c>
      <c r="B338" s="2" t="s">
        <v>707</v>
      </c>
      <c r="C338" s="5" t="s">
        <v>645</v>
      </c>
      <c r="D338" s="11" t="n">
        <v>0.9</v>
      </c>
      <c r="E338" s="11" t="n">
        <v>-1</v>
      </c>
      <c r="F338" s="11" t="n">
        <v>-1</v>
      </c>
      <c r="I338" s="11" t="n">
        <v>-0.1</v>
      </c>
      <c r="L338" s="2" t="s">
        <v>708</v>
      </c>
    </row>
    <row r="339" customFormat="false" ht="35.05" hidden="false" customHeight="false" outlineLevel="0" collapsed="false">
      <c r="A339" s="5" t="s">
        <v>777</v>
      </c>
      <c r="B339" s="2" t="s">
        <v>707</v>
      </c>
      <c r="C339" s="5" t="s">
        <v>645</v>
      </c>
      <c r="D339" s="11" t="n">
        <v>0.75</v>
      </c>
      <c r="E339" s="11" t="n">
        <v>-1</v>
      </c>
      <c r="F339" s="11" t="n">
        <v>-1</v>
      </c>
      <c r="I339" s="11" t="n">
        <v>-0.25</v>
      </c>
      <c r="L339" s="2" t="s">
        <v>708</v>
      </c>
    </row>
    <row r="340" customFormat="false" ht="35.05" hidden="false" customHeight="false" outlineLevel="0" collapsed="false">
      <c r="A340" s="5" t="s">
        <v>777</v>
      </c>
      <c r="B340" s="2" t="s">
        <v>707</v>
      </c>
      <c r="C340" s="5" t="s">
        <v>645</v>
      </c>
      <c r="D340" s="11" t="n">
        <v>0.5</v>
      </c>
      <c r="E340" s="11" t="n">
        <v>-1</v>
      </c>
      <c r="F340" s="11" t="n">
        <v>-1</v>
      </c>
      <c r="I340" s="11" t="n">
        <v>-0.5</v>
      </c>
      <c r="L340" s="2" t="s">
        <v>708</v>
      </c>
    </row>
    <row r="341" customFormat="false" ht="35.05" hidden="false" customHeight="false" outlineLevel="0" collapsed="false">
      <c r="A341" s="5" t="s">
        <v>777</v>
      </c>
      <c r="B341" s="2" t="s">
        <v>707</v>
      </c>
      <c r="C341" s="5" t="s">
        <v>645</v>
      </c>
      <c r="D341" s="11" t="n">
        <v>0.25</v>
      </c>
      <c r="E341" s="11" t="n">
        <v>-1</v>
      </c>
      <c r="F341" s="11" t="n">
        <v>-1</v>
      </c>
      <c r="I341" s="11" t="n">
        <v>-0.75</v>
      </c>
      <c r="L341" s="2" t="s">
        <v>708</v>
      </c>
    </row>
    <row r="342" customFormat="false" ht="35.05" hidden="false" customHeight="false" outlineLevel="0" collapsed="false">
      <c r="A342" s="5" t="s">
        <v>777</v>
      </c>
      <c r="B342" s="2" t="s">
        <v>707</v>
      </c>
      <c r="C342" s="5" t="s">
        <v>645</v>
      </c>
      <c r="D342" s="11" t="n">
        <v>0.1</v>
      </c>
      <c r="E342" s="11" t="n">
        <v>-1</v>
      </c>
      <c r="F342" s="11" t="n">
        <v>-1</v>
      </c>
      <c r="I342" s="11" t="n">
        <v>-0.9</v>
      </c>
      <c r="L342" s="2" t="s">
        <v>708</v>
      </c>
    </row>
    <row r="343" customFormat="false" ht="15" hidden="false" customHeight="false" outlineLevel="0" collapsed="false">
      <c r="A343" s="5" t="s">
        <v>794</v>
      </c>
      <c r="B343" s="2" t="s">
        <v>457</v>
      </c>
      <c r="C343" s="5" t="s">
        <v>642</v>
      </c>
      <c r="D343" s="11" t="n">
        <v>0.9</v>
      </c>
      <c r="E343" s="11" t="n">
        <v>-0.0308796491572605</v>
      </c>
      <c r="F343" s="11" t="n">
        <v>-0.0308796491572605</v>
      </c>
      <c r="G343" s="11" t="n">
        <v>0.109217408426902</v>
      </c>
      <c r="H343" s="11" t="n">
        <v>0</v>
      </c>
      <c r="I343" s="11" t="n">
        <v>-0.0438201425158024</v>
      </c>
      <c r="J343" s="15" t="n">
        <v>1.03186358549834</v>
      </c>
    </row>
    <row r="344" customFormat="false" ht="15" hidden="false" customHeight="false" outlineLevel="0" collapsed="false">
      <c r="A344" s="5" t="s">
        <v>794</v>
      </c>
      <c r="B344" s="2" t="s">
        <v>457</v>
      </c>
      <c r="C344" s="5" t="s">
        <v>642</v>
      </c>
      <c r="D344" s="11" t="n">
        <v>0.75</v>
      </c>
      <c r="E344" s="11" t="n">
        <v>-0.0771196961859044</v>
      </c>
      <c r="F344" s="11" t="n">
        <v>-0.0771196961859044</v>
      </c>
      <c r="G344" s="11" t="n">
        <v>0.266847384824304</v>
      </c>
      <c r="H344" s="11" t="n">
        <v>0</v>
      </c>
      <c r="I344" s="11" t="n">
        <v>-0.108322759045888</v>
      </c>
      <c r="J344" s="15" t="n">
        <v>1.08356413704701</v>
      </c>
    </row>
    <row r="345" customFormat="false" ht="15" hidden="false" customHeight="false" outlineLevel="0" collapsed="false">
      <c r="A345" s="5" t="s">
        <v>794</v>
      </c>
      <c r="B345" s="2" t="s">
        <v>457</v>
      </c>
      <c r="C345" s="5" t="s">
        <v>642</v>
      </c>
      <c r="D345" s="11" t="n">
        <v>0.5</v>
      </c>
      <c r="E345" s="11" t="n">
        <v>-0.153708731150353</v>
      </c>
      <c r="F345" s="11" t="n">
        <v>-0.153708731150353</v>
      </c>
      <c r="G345" s="11" t="n">
        <v>0.513933305812029</v>
      </c>
      <c r="H345" s="11" t="n">
        <v>0</v>
      </c>
      <c r="I345" s="11" t="n">
        <v>-0.212125683656091</v>
      </c>
      <c r="J345" s="15" t="n">
        <v>1.18162627550121</v>
      </c>
    </row>
    <row r="346" customFormat="false" ht="15" hidden="false" customHeight="false" outlineLevel="0" collapsed="false">
      <c r="A346" s="5" t="s">
        <v>794</v>
      </c>
      <c r="B346" s="2" t="s">
        <v>457</v>
      </c>
      <c r="C346" s="5" t="s">
        <v>642</v>
      </c>
      <c r="D346" s="11" t="n">
        <v>0.25</v>
      </c>
      <c r="E346" s="11" t="n">
        <v>-0.229163725617034</v>
      </c>
      <c r="F346" s="11" t="n">
        <v>-0.229163725617034</v>
      </c>
      <c r="G346" s="11" t="n">
        <v>0.745718859510243</v>
      </c>
      <c r="H346" s="11" t="n">
        <v>0</v>
      </c>
      <c r="I346" s="11" t="n">
        <v>-0.310526865973171</v>
      </c>
      <c r="J346" s="15" t="n">
        <v>1.29729234758766</v>
      </c>
    </row>
    <row r="347" customFormat="false" ht="15" hidden="false" customHeight="false" outlineLevel="0" collapsed="false">
      <c r="A347" s="5" t="s">
        <v>794</v>
      </c>
      <c r="B347" s="2" t="s">
        <v>457</v>
      </c>
      <c r="C347" s="5" t="s">
        <v>642</v>
      </c>
      <c r="D347" s="11" t="n">
        <v>0.1</v>
      </c>
      <c r="E347" s="11" t="n">
        <v>-0.273577389815179</v>
      </c>
      <c r="F347" s="11" t="n">
        <v>-0.273577389815179</v>
      </c>
      <c r="G347" s="11" t="n">
        <v>0.884869775026824</v>
      </c>
      <c r="H347" s="11" t="n">
        <v>0</v>
      </c>
      <c r="I347" s="11" t="n">
        <v>-0.366569346688164</v>
      </c>
      <c r="J347" s="15" t="n">
        <v>1.37660913355323</v>
      </c>
    </row>
    <row r="348" customFormat="false" ht="15" hidden="false" customHeight="false" outlineLevel="0" collapsed="false">
      <c r="A348" s="5" t="s">
        <v>794</v>
      </c>
      <c r="B348" s="2" t="s">
        <v>457</v>
      </c>
      <c r="C348" s="5" t="s">
        <v>645</v>
      </c>
      <c r="D348" s="11" t="n">
        <v>0.9</v>
      </c>
      <c r="E348" s="11" t="n">
        <v>-0.138504394931568</v>
      </c>
      <c r="F348" s="11" t="n">
        <v>-0.138504394931568</v>
      </c>
      <c r="G348" s="11" t="n">
        <v>0.208142428291427</v>
      </c>
      <c r="H348" s="11" t="n">
        <v>0</v>
      </c>
      <c r="I348" s="11" t="n">
        <v>2.22044604925031E-016</v>
      </c>
      <c r="J348" s="15" t="n">
        <v>1.16077202729382</v>
      </c>
    </row>
    <row r="349" customFormat="false" ht="15" hidden="false" customHeight="false" outlineLevel="0" collapsed="false">
      <c r="A349" s="5" t="s">
        <v>794</v>
      </c>
      <c r="B349" s="2" t="s">
        <v>457</v>
      </c>
      <c r="C349" s="5" t="s">
        <v>645</v>
      </c>
      <c r="D349" s="11" t="n">
        <v>0.75</v>
      </c>
      <c r="E349" s="11" t="n">
        <v>-0.290062645996163</v>
      </c>
      <c r="F349" s="11" t="n">
        <v>-0.290062645996163</v>
      </c>
      <c r="G349" s="11" t="n">
        <v>0.436013071741019</v>
      </c>
      <c r="H349" s="11" t="n">
        <v>0</v>
      </c>
      <c r="I349" s="11" t="n">
        <v>2.22044604925031E-016</v>
      </c>
      <c r="J349" s="15" t="n">
        <v>1.4085749881455</v>
      </c>
    </row>
    <row r="350" customFormat="false" ht="15" hidden="false" customHeight="false" outlineLevel="0" collapsed="false">
      <c r="A350" s="5" t="s">
        <v>794</v>
      </c>
      <c r="B350" s="2" t="s">
        <v>457</v>
      </c>
      <c r="C350" s="5" t="s">
        <v>645</v>
      </c>
      <c r="D350" s="11" t="n">
        <v>0.5</v>
      </c>
      <c r="E350" s="11" t="n">
        <v>-0.455378281937519</v>
      </c>
      <c r="F350" s="11" t="n">
        <v>-0.455378281937519</v>
      </c>
      <c r="G350" s="11" t="n">
        <v>0.687196964182984</v>
      </c>
      <c r="H350" s="11" t="n">
        <v>0</v>
      </c>
      <c r="I350" s="11" t="n">
        <v>0</v>
      </c>
      <c r="J350" s="15" t="n">
        <v>1.83613683926809</v>
      </c>
    </row>
    <row r="351" customFormat="false" ht="15" hidden="false" customHeight="false" outlineLevel="0" collapsed="false">
      <c r="A351" s="5" t="s">
        <v>794</v>
      </c>
      <c r="B351" s="2" t="s">
        <v>457</v>
      </c>
      <c r="C351" s="5" t="s">
        <v>645</v>
      </c>
      <c r="D351" s="11" t="n">
        <v>0.25</v>
      </c>
      <c r="E351" s="11" t="n">
        <v>-0.561075771588332</v>
      </c>
      <c r="F351" s="11" t="n">
        <v>-0.561075771588332</v>
      </c>
      <c r="G351" s="11" t="n">
        <v>0.855209002095229</v>
      </c>
      <c r="H351" s="11" t="n">
        <v>0</v>
      </c>
      <c r="I351" s="11" t="n">
        <v>2.22044604925031E-016</v>
      </c>
      <c r="J351" s="15" t="n">
        <v>2.27829756315502</v>
      </c>
    </row>
    <row r="352" customFormat="false" ht="15" hidden="false" customHeight="false" outlineLevel="0" collapsed="false">
      <c r="A352" s="5" t="s">
        <v>794</v>
      </c>
      <c r="B352" s="2" t="s">
        <v>457</v>
      </c>
      <c r="C352" s="5" t="s">
        <v>645</v>
      </c>
      <c r="D352" s="11" t="n">
        <v>0.1</v>
      </c>
      <c r="E352" s="11" t="n">
        <v>-0.607746413581965</v>
      </c>
      <c r="F352" s="11" t="n">
        <v>-0.607746413581965</v>
      </c>
      <c r="G352" s="11" t="n">
        <v>0.93783199611676</v>
      </c>
      <c r="H352" s="11" t="n">
        <v>0</v>
      </c>
      <c r="I352" s="11" t="n">
        <v>2.22044604925031E-016</v>
      </c>
      <c r="J352" s="15" t="n">
        <v>2.54937120940501</v>
      </c>
    </row>
    <row r="353" customFormat="false" ht="15" hidden="false" customHeight="false" outlineLevel="0" collapsed="false">
      <c r="A353" s="5" t="s">
        <v>794</v>
      </c>
      <c r="B353" s="2" t="s">
        <v>460</v>
      </c>
      <c r="C353" s="5" t="s">
        <v>642</v>
      </c>
      <c r="D353" s="11" t="n">
        <v>0.9</v>
      </c>
      <c r="E353" s="11" t="n">
        <v>-0.00880478899739368</v>
      </c>
      <c r="F353" s="11" t="n">
        <v>-0.00880478899739368</v>
      </c>
      <c r="G353" s="11" t="n">
        <v>0.107924310097654</v>
      </c>
      <c r="H353" s="11" t="n">
        <v>0</v>
      </c>
      <c r="I353" s="11" t="n">
        <v>-0.0125544981256772</v>
      </c>
      <c r="J353" s="15" t="n">
        <v>1.01111605450145</v>
      </c>
    </row>
    <row r="354" customFormat="false" ht="15" hidden="false" customHeight="false" outlineLevel="0" collapsed="false">
      <c r="A354" s="5" t="s">
        <v>794</v>
      </c>
      <c r="B354" s="2" t="s">
        <v>460</v>
      </c>
      <c r="C354" s="5" t="s">
        <v>642</v>
      </c>
      <c r="D354" s="11" t="n">
        <v>0.75</v>
      </c>
      <c r="E354" s="11" t="n">
        <v>-0.021934472491195</v>
      </c>
      <c r="F354" s="11" t="n">
        <v>-0.021934472491195</v>
      </c>
      <c r="G354" s="11" t="n">
        <v>0.266450854368396</v>
      </c>
      <c r="H354" s="11" t="n">
        <v>0</v>
      </c>
      <c r="I354" s="11" t="n">
        <v>-0.0311870580310142</v>
      </c>
      <c r="J354" s="15" t="n">
        <v>1.02811112769524</v>
      </c>
    </row>
    <row r="355" customFormat="false" ht="15" hidden="false" customHeight="false" outlineLevel="0" collapsed="false">
      <c r="A355" s="5" t="s">
        <v>794</v>
      </c>
      <c r="B355" s="2" t="s">
        <v>460</v>
      </c>
      <c r="C355" s="5" t="s">
        <v>642</v>
      </c>
      <c r="D355" s="11" t="n">
        <v>0.5</v>
      </c>
      <c r="E355" s="11" t="n">
        <v>-0.0436018063200465</v>
      </c>
      <c r="F355" s="11" t="n">
        <v>-0.0436018063200465</v>
      </c>
      <c r="G355" s="11" t="n">
        <v>0.521800903160023</v>
      </c>
      <c r="H355" s="11" t="n">
        <v>0</v>
      </c>
      <c r="I355" s="11" t="n">
        <v>-0.0617014019335404</v>
      </c>
      <c r="J355" s="15" t="n">
        <v>1.05730811621031</v>
      </c>
    </row>
    <row r="356" customFormat="false" ht="15" hidden="false" customHeight="false" outlineLevel="0" collapsed="false">
      <c r="A356" s="5" t="s">
        <v>794</v>
      </c>
      <c r="B356" s="2" t="s">
        <v>460</v>
      </c>
      <c r="C356" s="5" t="s">
        <v>642</v>
      </c>
      <c r="D356" s="11" t="n">
        <v>0.25</v>
      </c>
      <c r="E356" s="11" t="n">
        <v>-0.0649855630365237</v>
      </c>
      <c r="F356" s="11" t="n">
        <v>-0.0649855630365237</v>
      </c>
      <c r="G356" s="11" t="n">
        <v>0.766246390759131</v>
      </c>
      <c r="H356" s="11" t="n">
        <v>0</v>
      </c>
      <c r="I356" s="11" t="n">
        <v>-0.0915273005441546</v>
      </c>
      <c r="J356" s="15" t="n">
        <v>1.08761979747622</v>
      </c>
    </row>
    <row r="357" customFormat="false" ht="15" hidden="false" customHeight="false" outlineLevel="0" collapsed="false">
      <c r="A357" s="5" t="s">
        <v>794</v>
      </c>
      <c r="B357" s="2" t="s">
        <v>460</v>
      </c>
      <c r="C357" s="5" t="s">
        <v>642</v>
      </c>
      <c r="D357" s="11" t="n">
        <v>0.1</v>
      </c>
      <c r="E357" s="11" t="n">
        <v>-0.077672934013004</v>
      </c>
      <c r="F357" s="11" t="n">
        <v>-0.077672934013004</v>
      </c>
      <c r="G357" s="11" t="n">
        <v>0.9077672934013</v>
      </c>
      <c r="H357" s="11" t="n">
        <v>0</v>
      </c>
      <c r="I357" s="11" t="n">
        <v>-0.109086278897244</v>
      </c>
      <c r="J357" s="15" t="n">
        <v>1.10635323054339</v>
      </c>
    </row>
    <row r="358" customFormat="false" ht="15" hidden="false" customHeight="false" outlineLevel="0" collapsed="false">
      <c r="A358" s="5" t="s">
        <v>794</v>
      </c>
      <c r="B358" s="2" t="s">
        <v>460</v>
      </c>
      <c r="C358" s="5" t="s">
        <v>645</v>
      </c>
      <c r="D358" s="11" t="n">
        <v>0.9</v>
      </c>
      <c r="E358" s="11" t="n">
        <v>-0.0234055914686966</v>
      </c>
      <c r="F358" s="11" t="n">
        <v>-0.0234055914686966</v>
      </c>
      <c r="G358" s="11" t="n">
        <v>0.121065032321827</v>
      </c>
      <c r="H358" s="11" t="n">
        <v>0</v>
      </c>
      <c r="I358" s="11" t="n">
        <v>0</v>
      </c>
      <c r="J358" s="15" t="n">
        <v>1.030047395281</v>
      </c>
    </row>
    <row r="359" customFormat="false" ht="15" hidden="false" customHeight="false" outlineLevel="0" collapsed="false">
      <c r="A359" s="5" t="s">
        <v>794</v>
      </c>
      <c r="B359" s="2" t="s">
        <v>460</v>
      </c>
      <c r="C359" s="5" t="s">
        <v>645</v>
      </c>
      <c r="D359" s="11" t="n">
        <v>0.75</v>
      </c>
      <c r="E359" s="11" t="n">
        <v>-0.0563997608216016</v>
      </c>
      <c r="F359" s="11" t="n">
        <v>-0.0563997608216016</v>
      </c>
      <c r="G359" s="11" t="n">
        <v>0.292299820616201</v>
      </c>
      <c r="H359" s="11" t="n">
        <v>0</v>
      </c>
      <c r="I359" s="11" t="n">
        <v>0</v>
      </c>
      <c r="J359" s="15" t="n">
        <v>1.07526360714492</v>
      </c>
    </row>
    <row r="360" customFormat="false" ht="15" hidden="false" customHeight="false" outlineLevel="0" collapsed="false">
      <c r="A360" s="5" t="s">
        <v>794</v>
      </c>
      <c r="B360" s="2" t="s">
        <v>460</v>
      </c>
      <c r="C360" s="5" t="s">
        <v>645</v>
      </c>
      <c r="D360" s="11" t="n">
        <v>0.5</v>
      </c>
      <c r="E360" s="11" t="n">
        <v>-0.106399945999947</v>
      </c>
      <c r="F360" s="11" t="n">
        <v>-0.106399945999947</v>
      </c>
      <c r="G360" s="11" t="n">
        <v>0.553199972999973</v>
      </c>
      <c r="H360" s="11" t="n">
        <v>0</v>
      </c>
      <c r="I360" s="11" t="n">
        <v>0</v>
      </c>
      <c r="J360" s="15" t="n">
        <v>1.15098858646085</v>
      </c>
    </row>
    <row r="361" customFormat="false" ht="15" hidden="false" customHeight="false" outlineLevel="0" collapsed="false">
      <c r="A361" s="5" t="s">
        <v>794</v>
      </c>
      <c r="B361" s="2" t="s">
        <v>460</v>
      </c>
      <c r="C361" s="5" t="s">
        <v>645</v>
      </c>
      <c r="D361" s="11" t="n">
        <v>0.25</v>
      </c>
      <c r="E361" s="11" t="n">
        <v>-0.151043115223118</v>
      </c>
      <c r="F361" s="11" t="n">
        <v>-0.151043115223118</v>
      </c>
      <c r="G361" s="11" t="n">
        <v>0.78776077880578</v>
      </c>
      <c r="H361" s="11" t="n">
        <v>0</v>
      </c>
      <c r="I361" s="11" t="n">
        <v>0</v>
      </c>
      <c r="J361" s="15" t="n">
        <v>1.22713673363073</v>
      </c>
    </row>
    <row r="362" customFormat="false" ht="15" hidden="false" customHeight="false" outlineLevel="0" collapsed="false">
      <c r="A362" s="5" t="s">
        <v>794</v>
      </c>
      <c r="B362" s="2" t="s">
        <v>460</v>
      </c>
      <c r="C362" s="5" t="s">
        <v>645</v>
      </c>
      <c r="D362" s="11" t="n">
        <v>0.1</v>
      </c>
      <c r="E362" s="11" t="n">
        <v>-0.175608975877675</v>
      </c>
      <c r="F362" s="11" t="n">
        <v>-0.175608975877675</v>
      </c>
      <c r="G362" s="11" t="n">
        <v>0.917560897587767</v>
      </c>
      <c r="H362" s="11" t="n">
        <v>0</v>
      </c>
      <c r="I362" s="11" t="n">
        <v>2.22044604925031E-016</v>
      </c>
      <c r="J362" s="15" t="n">
        <v>1.27301473845763</v>
      </c>
    </row>
    <row r="363" customFormat="false" ht="15" hidden="false" customHeight="false" outlineLevel="0" collapsed="false">
      <c r="A363" s="5" t="s">
        <v>794</v>
      </c>
      <c r="B363" s="2" t="s">
        <v>462</v>
      </c>
      <c r="C363" s="5" t="s">
        <v>642</v>
      </c>
      <c r="D363" s="11" t="n">
        <v>0.9</v>
      </c>
      <c r="E363" s="11" t="n">
        <v>-0.0069317178399495</v>
      </c>
      <c r="F363" s="11" t="n">
        <v>-0.0069317178399495</v>
      </c>
      <c r="G363" s="11" t="n">
        <v>0.152103436201941</v>
      </c>
      <c r="H363" s="11" t="n">
        <v>0</v>
      </c>
      <c r="I363" s="11" t="n">
        <v>-0.00988772579412844</v>
      </c>
      <c r="J363" s="15" t="n">
        <v>1.0087327269621</v>
      </c>
    </row>
    <row r="364" customFormat="false" ht="15" hidden="false" customHeight="false" outlineLevel="0" collapsed="false">
      <c r="A364" s="5" t="s">
        <v>794</v>
      </c>
      <c r="B364" s="2" t="s">
        <v>462</v>
      </c>
      <c r="C364" s="5" t="s">
        <v>642</v>
      </c>
      <c r="D364" s="11" t="n">
        <v>0.75</v>
      </c>
      <c r="E364" s="11" t="n">
        <v>-0.017275038395264</v>
      </c>
      <c r="F364" s="11" t="n">
        <v>-0.017275038395264</v>
      </c>
      <c r="G364" s="11" t="n">
        <v>0.361701413737909</v>
      </c>
      <c r="H364" s="11" t="n">
        <v>0</v>
      </c>
      <c r="I364" s="11" t="n">
        <v>-0.0245869684285622</v>
      </c>
      <c r="J364" s="15" t="n">
        <v>1.02202146154618</v>
      </c>
    </row>
    <row r="365" customFormat="false" ht="15" hidden="false" customHeight="false" outlineLevel="0" collapsed="false">
      <c r="A365" s="5" t="s">
        <v>794</v>
      </c>
      <c r="B365" s="2" t="s">
        <v>462</v>
      </c>
      <c r="C365" s="5" t="s">
        <v>642</v>
      </c>
      <c r="D365" s="11" t="n">
        <v>0.5</v>
      </c>
      <c r="E365" s="11" t="n">
        <v>-0.0343650467323045</v>
      </c>
      <c r="F365" s="11" t="n">
        <v>-0.0343650467323045</v>
      </c>
      <c r="G365" s="11" t="n">
        <v>0.658596488196829</v>
      </c>
      <c r="H365" s="11" t="n">
        <v>0</v>
      </c>
      <c r="I365" s="11" t="n">
        <v>-0.0487290077106228</v>
      </c>
      <c r="J365" s="15" t="n">
        <v>1.04468119696513</v>
      </c>
    </row>
    <row r="366" customFormat="false" ht="15" hidden="false" customHeight="false" outlineLevel="0" collapsed="false">
      <c r="A366" s="5" t="s">
        <v>794</v>
      </c>
      <c r="B366" s="2" t="s">
        <v>462</v>
      </c>
      <c r="C366" s="5" t="s">
        <v>642</v>
      </c>
      <c r="D366" s="11" t="n">
        <v>0.25</v>
      </c>
      <c r="E366" s="11" t="n">
        <v>-0.0512622793187765</v>
      </c>
      <c r="F366" s="11" t="n">
        <v>-0.0512622793187765</v>
      </c>
      <c r="G366" s="11" t="n">
        <v>0.881407784914847</v>
      </c>
      <c r="H366" s="11" t="n">
        <v>0</v>
      </c>
      <c r="I366" s="11" t="n">
        <v>-0.0724193753262363</v>
      </c>
      <c r="J366" s="15" t="n">
        <v>1.06799025528423</v>
      </c>
    </row>
    <row r="367" customFormat="false" ht="15" hidden="false" customHeight="false" outlineLevel="0" collapsed="false">
      <c r="A367" s="5" t="s">
        <v>794</v>
      </c>
      <c r="B367" s="2" t="s">
        <v>462</v>
      </c>
      <c r="C367" s="5" t="s">
        <v>645</v>
      </c>
      <c r="D367" s="11" t="n">
        <v>0.9</v>
      </c>
      <c r="E367" s="11" t="n">
        <v>-0.0173865856465434</v>
      </c>
      <c r="F367" s="11" t="n">
        <v>-0.0173865856465434</v>
      </c>
      <c r="G367" s="11" t="n">
        <v>0.161029958826238</v>
      </c>
      <c r="H367" s="11" t="n">
        <v>0</v>
      </c>
      <c r="I367" s="11" t="n">
        <v>0</v>
      </c>
      <c r="J367" s="15" t="n">
        <v>1.02216648971901</v>
      </c>
    </row>
    <row r="368" customFormat="false" ht="15" hidden="false" customHeight="false" outlineLevel="0" collapsed="false">
      <c r="A368" s="5" t="s">
        <v>794</v>
      </c>
      <c r="B368" s="2" t="s">
        <v>462</v>
      </c>
      <c r="C368" s="5" t="s">
        <v>645</v>
      </c>
      <c r="D368" s="11" t="n">
        <v>0.75</v>
      </c>
      <c r="E368" s="11" t="n">
        <v>-0.0422753221190264</v>
      </c>
      <c r="F368" s="11" t="n">
        <v>-0.0422753221190264</v>
      </c>
      <c r="G368" s="11" t="n">
        <v>0.377939574342856</v>
      </c>
      <c r="H368" s="11" t="n">
        <v>0</v>
      </c>
      <c r="I368" s="11" t="n">
        <v>2.22044604925031E-016</v>
      </c>
      <c r="J368" s="15" t="n">
        <v>1.05547791954044</v>
      </c>
    </row>
    <row r="369" customFormat="false" ht="15" hidden="false" customHeight="false" outlineLevel="0" collapsed="false">
      <c r="A369" s="5" t="s">
        <v>794</v>
      </c>
      <c r="B369" s="2" t="s">
        <v>462</v>
      </c>
      <c r="C369" s="5" t="s">
        <v>645</v>
      </c>
      <c r="D369" s="11" t="n">
        <v>0.5</v>
      </c>
      <c r="E369" s="11" t="n">
        <v>-0.0808628454875697</v>
      </c>
      <c r="F369" s="11" t="n">
        <v>-0.0808628454875697</v>
      </c>
      <c r="G369" s="11" t="n">
        <v>0.675035942601877</v>
      </c>
      <c r="H369" s="11" t="n">
        <v>0</v>
      </c>
      <c r="I369" s="11" t="n">
        <v>2.22044604925031E-016</v>
      </c>
      <c r="J369" s="15" t="n">
        <v>1.11115487867199</v>
      </c>
    </row>
    <row r="370" customFormat="false" ht="15" hidden="false" customHeight="false" outlineLevel="0" collapsed="false">
      <c r="A370" s="5" t="s">
        <v>794</v>
      </c>
      <c r="B370" s="2" t="s">
        <v>462</v>
      </c>
      <c r="C370" s="5" t="s">
        <v>645</v>
      </c>
      <c r="D370" s="11" t="n">
        <v>0.25</v>
      </c>
      <c r="E370" s="11" t="n">
        <v>-0.1162334404756</v>
      </c>
      <c r="F370" s="11" t="n">
        <v>-0.1162334404756</v>
      </c>
      <c r="G370" s="11" t="n">
        <v>0.88952918005945</v>
      </c>
      <c r="H370" s="11" t="n">
        <v>0</v>
      </c>
      <c r="I370" s="11" t="n">
        <v>0</v>
      </c>
      <c r="J370" s="15" t="n">
        <v>1.16701931621338</v>
      </c>
    </row>
    <row r="371" customFormat="false" ht="15" hidden="false" customHeight="false" outlineLevel="0" collapsed="false">
      <c r="A371" s="5" t="s">
        <v>794</v>
      </c>
      <c r="B371" s="2" t="s">
        <v>465</v>
      </c>
      <c r="C371" s="5" t="s">
        <v>642</v>
      </c>
      <c r="D371" s="11" t="n">
        <v>0.9</v>
      </c>
      <c r="E371" s="11" t="n">
        <v>-0.000851145021375954</v>
      </c>
      <c r="F371" s="11" t="n">
        <v>-0.000851145021375954</v>
      </c>
      <c r="G371" s="11" t="n">
        <v>0.271620484720583</v>
      </c>
      <c r="H371" s="11" t="n">
        <v>0</v>
      </c>
      <c r="I371" s="11" t="n">
        <v>-0.0012156996533933</v>
      </c>
      <c r="J371" s="15" t="n">
        <v>1.00106495097172</v>
      </c>
    </row>
    <row r="372" customFormat="false" ht="15" hidden="false" customHeight="false" outlineLevel="0" collapsed="false">
      <c r="A372" s="5" t="s">
        <v>794</v>
      </c>
      <c r="B372" s="2" t="s">
        <v>465</v>
      </c>
      <c r="C372" s="5" t="s">
        <v>642</v>
      </c>
      <c r="D372" s="11" t="n">
        <v>0.75</v>
      </c>
      <c r="E372" s="11" t="n">
        <v>-0.0021269998831277</v>
      </c>
      <c r="F372" s="11" t="n">
        <v>-0.0021269998831277</v>
      </c>
      <c r="G372" s="11" t="n">
        <v>0.579022328075694</v>
      </c>
      <c r="H372" s="11" t="n">
        <v>0</v>
      </c>
      <c r="I372" s="11" t="n">
        <v>-0.00303718576274725</v>
      </c>
      <c r="J372" s="15" t="n">
        <v>1.00266512660259</v>
      </c>
    </row>
    <row r="373" customFormat="false" ht="15" hidden="false" customHeight="false" outlineLevel="0" collapsed="false">
      <c r="A373" s="5" t="s">
        <v>794</v>
      </c>
      <c r="B373" s="2" t="s">
        <v>465</v>
      </c>
      <c r="C373" s="5" t="s">
        <v>642</v>
      </c>
      <c r="D373" s="11" t="n">
        <v>0.5</v>
      </c>
      <c r="E373" s="11" t="n">
        <v>-0.00425111687850155</v>
      </c>
      <c r="F373" s="11" t="n">
        <v>-0.00425111687850155</v>
      </c>
      <c r="G373" s="11" t="n">
        <v>0.875531389609813</v>
      </c>
      <c r="H373" s="11" t="n">
        <v>0</v>
      </c>
      <c r="I373" s="11" t="n">
        <v>-0.00606748738170759</v>
      </c>
      <c r="J373" s="15" t="n">
        <v>1.00533942741157</v>
      </c>
    </row>
    <row r="374" customFormat="false" ht="15" hidden="false" customHeight="false" outlineLevel="0" collapsed="false">
      <c r="A374" s="5" t="s">
        <v>794</v>
      </c>
      <c r="B374" s="2" t="s">
        <v>465</v>
      </c>
      <c r="C374" s="5" t="s">
        <v>645</v>
      </c>
      <c r="D374" s="11" t="n">
        <v>0.9</v>
      </c>
      <c r="E374" s="11" t="n">
        <v>-0.00203604529511781</v>
      </c>
      <c r="F374" s="11" t="n">
        <v>-0.00203604529511781</v>
      </c>
      <c r="G374" s="11" t="n">
        <v>0.272484277020141</v>
      </c>
      <c r="H374" s="11" t="n">
        <v>0</v>
      </c>
      <c r="I374" s="11" t="n">
        <v>2.22044604925031E-016</v>
      </c>
      <c r="J374" s="15" t="n">
        <v>1.00255089908705</v>
      </c>
    </row>
    <row r="375" customFormat="false" ht="15" hidden="false" customHeight="false" outlineLevel="0" collapsed="false">
      <c r="A375" s="5" t="s">
        <v>794</v>
      </c>
      <c r="B375" s="2" t="s">
        <v>465</v>
      </c>
      <c r="C375" s="5" t="s">
        <v>645</v>
      </c>
      <c r="D375" s="11" t="n">
        <v>0.75</v>
      </c>
      <c r="E375" s="11" t="n">
        <v>-0.00507371702369186</v>
      </c>
      <c r="F375" s="11" t="n">
        <v>-0.00507371702369186</v>
      </c>
      <c r="G375" s="11" t="n">
        <v>0.58026547436937</v>
      </c>
      <c r="H375" s="11" t="n">
        <v>0</v>
      </c>
      <c r="I375" s="11" t="n">
        <v>0</v>
      </c>
      <c r="J375" s="15" t="n">
        <v>1.00637854687272</v>
      </c>
    </row>
    <row r="376" customFormat="false" ht="15" hidden="false" customHeight="false" outlineLevel="0" collapsed="false">
      <c r="A376" s="5" t="s">
        <v>794</v>
      </c>
      <c r="B376" s="2" t="s">
        <v>465</v>
      </c>
      <c r="C376" s="5" t="s">
        <v>645</v>
      </c>
      <c r="D376" s="11" t="n">
        <v>0.5</v>
      </c>
      <c r="E376" s="11" t="n">
        <v>-0.0100932521076644</v>
      </c>
      <c r="F376" s="11" t="n">
        <v>-0.0100932521076644</v>
      </c>
      <c r="G376" s="11" t="n">
        <v>0.876261656513458</v>
      </c>
      <c r="H376" s="11" t="n">
        <v>0</v>
      </c>
      <c r="I376" s="11" t="n">
        <v>2.22044604925031E-016</v>
      </c>
      <c r="J376" s="15" t="n">
        <v>1.01276140851281</v>
      </c>
    </row>
    <row r="377" customFormat="false" ht="15" hidden="false" customHeight="false" outlineLevel="0" collapsed="false">
      <c r="A377" s="5" t="s">
        <v>794</v>
      </c>
      <c r="B377" s="2" t="s">
        <v>468</v>
      </c>
      <c r="C377" s="5" t="s">
        <v>642</v>
      </c>
      <c r="D377" s="11" t="n">
        <v>0.9</v>
      </c>
      <c r="E377" s="11" t="n">
        <v>-0.0022117578061911</v>
      </c>
      <c r="F377" s="11" t="n">
        <v>-0.0022117578061911</v>
      </c>
      <c r="G377" s="11" t="n">
        <v>0.191791523823015</v>
      </c>
      <c r="H377" s="11" t="n">
        <v>0</v>
      </c>
      <c r="I377" s="11" t="n">
        <v>-0.00315815586539459</v>
      </c>
      <c r="J377" s="15" t="n">
        <v>1.00277159297544</v>
      </c>
    </row>
    <row r="378" customFormat="false" ht="15" hidden="false" customHeight="false" outlineLevel="0" collapsed="false">
      <c r="A378" s="5" t="s">
        <v>794</v>
      </c>
      <c r="B378" s="2" t="s">
        <v>468</v>
      </c>
      <c r="C378" s="5" t="s">
        <v>642</v>
      </c>
      <c r="D378" s="11" t="n">
        <v>0.75</v>
      </c>
      <c r="E378" s="11" t="n">
        <v>-0.00552361285384473</v>
      </c>
      <c r="F378" s="11" t="n">
        <v>-0.00552361285384473</v>
      </c>
      <c r="G378" s="11" t="n">
        <v>0.440607032230288</v>
      </c>
      <c r="H378" s="11" t="n">
        <v>0</v>
      </c>
      <c r="I378" s="11" t="n">
        <v>-0.00788152577001933</v>
      </c>
      <c r="J378" s="15" t="n">
        <v>1.00694767943125</v>
      </c>
    </row>
    <row r="379" customFormat="false" ht="15" hidden="false" customHeight="false" outlineLevel="0" collapsed="false">
      <c r="A379" s="5" t="s">
        <v>794</v>
      </c>
      <c r="B379" s="2" t="s">
        <v>468</v>
      </c>
      <c r="C379" s="5" t="s">
        <v>642</v>
      </c>
      <c r="D379" s="11" t="n">
        <v>0.5</v>
      </c>
      <c r="E379" s="11" t="n">
        <v>-0.0110278236841974</v>
      </c>
      <c r="F379" s="11" t="n">
        <v>-0.0110278236841974</v>
      </c>
      <c r="G379" s="11" t="n">
        <v>0.752756955921049</v>
      </c>
      <c r="H379" s="11" t="n">
        <v>0</v>
      </c>
      <c r="I379" s="11" t="n">
        <v>-0.0157167268567937</v>
      </c>
      <c r="J379" s="15" t="n">
        <v>1.01395786507991</v>
      </c>
    </row>
    <row r="380" customFormat="false" ht="15" hidden="false" customHeight="false" outlineLevel="0" collapsed="false">
      <c r="A380" s="5" t="s">
        <v>794</v>
      </c>
      <c r="B380" s="2" t="s">
        <v>468</v>
      </c>
      <c r="C380" s="5" t="s">
        <v>642</v>
      </c>
      <c r="D380" s="11" t="n">
        <v>0.25</v>
      </c>
      <c r="E380" s="11" t="n">
        <v>-0.016512390067468</v>
      </c>
      <c r="F380" s="11" t="n">
        <v>-0.016512390067468</v>
      </c>
      <c r="G380" s="11" t="n">
        <v>0.938532024379217</v>
      </c>
      <c r="H380" s="11" t="n">
        <v>0</v>
      </c>
      <c r="I380" s="11" t="n">
        <v>-0.0235053973795333</v>
      </c>
      <c r="J380" s="15" t="n">
        <v>1.02103089569737</v>
      </c>
    </row>
    <row r="381" customFormat="false" ht="15" hidden="false" customHeight="false" outlineLevel="0" collapsed="false">
      <c r="A381" s="5" t="s">
        <v>794</v>
      </c>
      <c r="B381" s="2" t="s">
        <v>468</v>
      </c>
      <c r="C381" s="5" t="s">
        <v>642</v>
      </c>
      <c r="D381" s="11" t="n">
        <v>0.15</v>
      </c>
      <c r="E381" s="11" t="n">
        <v>-0.0187006621756414</v>
      </c>
      <c r="F381" s="11" t="n">
        <v>-0.0187006621756414</v>
      </c>
      <c r="G381" s="11" t="n">
        <v>0.977920764898952</v>
      </c>
      <c r="H381" s="11" t="n">
        <v>0</v>
      </c>
      <c r="I381" s="11" t="n">
        <v>-0.0266077919749937</v>
      </c>
      <c r="J381" s="15" t="n">
        <v>1.02387777916055</v>
      </c>
    </row>
    <row r="382" customFormat="false" ht="15" hidden="false" customHeight="false" outlineLevel="0" collapsed="false">
      <c r="A382" s="5" t="s">
        <v>794</v>
      </c>
      <c r="B382" s="2" t="s">
        <v>468</v>
      </c>
      <c r="C382" s="5" t="s">
        <v>645</v>
      </c>
      <c r="D382" s="11" t="n">
        <v>0.9</v>
      </c>
      <c r="E382" s="11" t="n">
        <v>-0.00533551348446282</v>
      </c>
      <c r="F382" s="11" t="n">
        <v>-0.00533551348446282</v>
      </c>
      <c r="G382" s="11" t="n">
        <v>0.194321765922415</v>
      </c>
      <c r="H382" s="11" t="n">
        <v>0</v>
      </c>
      <c r="I382" s="11" t="n">
        <v>0</v>
      </c>
      <c r="J382" s="15" t="n">
        <v>1.00670965727834</v>
      </c>
    </row>
    <row r="383" customFormat="false" ht="15" hidden="false" customHeight="false" outlineLevel="0" collapsed="false">
      <c r="A383" s="5" t="s">
        <v>794</v>
      </c>
      <c r="B383" s="2" t="s">
        <v>468</v>
      </c>
      <c r="C383" s="5" t="s">
        <v>645</v>
      </c>
      <c r="D383" s="11" t="n">
        <v>0.75</v>
      </c>
      <c r="E383" s="11" t="n">
        <v>-0.0132262107945054</v>
      </c>
      <c r="F383" s="11" t="n">
        <v>-0.0132262107945054</v>
      </c>
      <c r="G383" s="11" t="n">
        <v>0.444939743571909</v>
      </c>
      <c r="H383" s="11" t="n">
        <v>0</v>
      </c>
      <c r="I383" s="11" t="n">
        <v>0</v>
      </c>
      <c r="J383" s="15" t="n">
        <v>1.01678233753701</v>
      </c>
    </row>
    <row r="384" customFormat="false" ht="15" hidden="false" customHeight="false" outlineLevel="0" collapsed="false">
      <c r="A384" s="5" t="s">
        <v>794</v>
      </c>
      <c r="B384" s="2" t="s">
        <v>468</v>
      </c>
      <c r="C384" s="5" t="s">
        <v>645</v>
      </c>
      <c r="D384" s="11" t="n">
        <v>0.5</v>
      </c>
      <c r="E384" s="11" t="n">
        <v>-0.0260856166729733</v>
      </c>
      <c r="F384" s="11" t="n">
        <v>-0.0260856166729733</v>
      </c>
      <c r="G384" s="11" t="n">
        <v>0.756521404168243</v>
      </c>
      <c r="H384" s="11" t="n">
        <v>0</v>
      </c>
      <c r="I384" s="11" t="n">
        <v>0</v>
      </c>
      <c r="J384" s="15" t="n">
        <v>1.03359172877128</v>
      </c>
    </row>
    <row r="385" customFormat="false" ht="15" hidden="false" customHeight="false" outlineLevel="0" collapsed="false">
      <c r="A385" s="5" t="s">
        <v>794</v>
      </c>
      <c r="B385" s="2" t="s">
        <v>468</v>
      </c>
      <c r="C385" s="5" t="s">
        <v>645</v>
      </c>
      <c r="D385" s="11" t="n">
        <v>0.25</v>
      </c>
      <c r="E385" s="11" t="n">
        <v>-0.038593466443702</v>
      </c>
      <c r="F385" s="11" t="n">
        <v>-0.038593466443702</v>
      </c>
      <c r="G385" s="11" t="n">
        <v>0.939912091652731</v>
      </c>
      <c r="H385" s="11" t="n">
        <v>0</v>
      </c>
      <c r="I385" s="11" t="n">
        <v>2.22044604925031E-016</v>
      </c>
      <c r="J385" s="15" t="n">
        <v>1.05042769476908</v>
      </c>
    </row>
    <row r="386" customFormat="false" ht="15" hidden="false" customHeight="false" outlineLevel="0" collapsed="false">
      <c r="A386" s="5" t="s">
        <v>794</v>
      </c>
      <c r="B386" s="2" t="s">
        <v>468</v>
      </c>
      <c r="C386" s="5" t="s">
        <v>645</v>
      </c>
      <c r="D386" s="11" t="n">
        <v>0.15</v>
      </c>
      <c r="E386" s="11" t="n">
        <v>-0.0435014255973085</v>
      </c>
      <c r="F386" s="11" t="n">
        <v>-0.0435014255973085</v>
      </c>
      <c r="G386" s="11" t="n">
        <v>0.978478782075939</v>
      </c>
      <c r="H386" s="11" t="n">
        <v>0</v>
      </c>
      <c r="I386" s="11" t="n">
        <v>2.22044604925031E-016</v>
      </c>
      <c r="J386" s="15" t="n">
        <v>1.05716941767564</v>
      </c>
    </row>
    <row r="387" customFormat="false" ht="15" hidden="false" customHeight="false" outlineLevel="0" collapsed="false">
      <c r="A387" s="5" t="s">
        <v>794</v>
      </c>
      <c r="B387" s="2" t="s">
        <v>472</v>
      </c>
      <c r="C387" s="5" t="s">
        <v>642</v>
      </c>
      <c r="D387" s="11" t="n">
        <v>0.9</v>
      </c>
      <c r="E387" s="11" t="n">
        <v>-0.000606822312354538</v>
      </c>
      <c r="F387" s="11" t="n">
        <v>-0.000606822312354538</v>
      </c>
      <c r="G387" s="11" t="n">
        <v>0.409868322507222</v>
      </c>
      <c r="H387" s="11" t="n">
        <v>0</v>
      </c>
      <c r="I387" s="11" t="n">
        <v>-0.000866776280131765</v>
      </c>
      <c r="J387" s="15" t="n">
        <v>1.00075904605918</v>
      </c>
    </row>
    <row r="388" customFormat="false" ht="15" hidden="false" customHeight="false" outlineLevel="0" collapsed="false">
      <c r="A388" s="5" t="s">
        <v>794</v>
      </c>
      <c r="B388" s="2" t="s">
        <v>472</v>
      </c>
      <c r="C388" s="5" t="s">
        <v>642</v>
      </c>
      <c r="D388" s="11" t="n">
        <v>0.75</v>
      </c>
      <c r="E388" s="11" t="n">
        <v>-0.00151661674497983</v>
      </c>
      <c r="F388" s="11" t="n">
        <v>-0.00151661674497983</v>
      </c>
      <c r="G388" s="11" t="n">
        <v>0.763055212762725</v>
      </c>
      <c r="H388" s="11" t="n">
        <v>0</v>
      </c>
      <c r="I388" s="11" t="n">
        <v>-0.00216589102613241</v>
      </c>
      <c r="J388" s="15" t="n">
        <v>1.00189901080686</v>
      </c>
    </row>
    <row r="389" customFormat="false" ht="15" hidden="false" customHeight="false" outlineLevel="0" collapsed="false">
      <c r="A389" s="5" t="s">
        <v>794</v>
      </c>
      <c r="B389" s="2" t="s">
        <v>472</v>
      </c>
      <c r="C389" s="5" t="s">
        <v>642</v>
      </c>
      <c r="D389" s="11" t="n">
        <v>0.5</v>
      </c>
      <c r="E389" s="11" t="n">
        <v>-0.00303176739001243</v>
      </c>
      <c r="F389" s="11" t="n">
        <v>-0.00303176739001243</v>
      </c>
      <c r="G389" s="11" t="n">
        <v>0.968844742730938</v>
      </c>
      <c r="H389" s="11" t="n">
        <v>0</v>
      </c>
      <c r="I389" s="11" t="n">
        <v>-0.00432828088538284</v>
      </c>
      <c r="J389" s="15" t="n">
        <v>1.00380267753458</v>
      </c>
    </row>
    <row r="390" customFormat="false" ht="15" hidden="false" customHeight="false" outlineLevel="0" collapsed="false">
      <c r="A390" s="5" t="s">
        <v>794</v>
      </c>
      <c r="B390" s="2" t="s">
        <v>472</v>
      </c>
      <c r="C390" s="5" t="s">
        <v>642</v>
      </c>
      <c r="D390" s="11" t="n">
        <v>0.25</v>
      </c>
      <c r="E390" s="11" t="n">
        <v>-0.00454544697769954</v>
      </c>
      <c r="F390" s="11" t="n">
        <v>-0.00454544697769954</v>
      </c>
      <c r="G390" s="11" t="n">
        <v>0.999027876413064</v>
      </c>
      <c r="H390" s="11" t="n">
        <v>0</v>
      </c>
      <c r="I390" s="11" t="n">
        <v>-0.00648716537367178</v>
      </c>
      <c r="J390" s="15" t="n">
        <v>1.00571100714366</v>
      </c>
    </row>
    <row r="391" customFormat="false" ht="15" hidden="false" customHeight="false" outlineLevel="0" collapsed="false">
      <c r="A391" s="5" t="s">
        <v>794</v>
      </c>
      <c r="B391" s="2" t="s">
        <v>472</v>
      </c>
      <c r="C391" s="5" t="s">
        <v>642</v>
      </c>
      <c r="D391" s="11" t="n">
        <v>0.1</v>
      </c>
      <c r="E391" s="11" t="n">
        <v>-0.00545294656377116</v>
      </c>
      <c r="F391" s="11" t="n">
        <v>-0.00545294656377116</v>
      </c>
      <c r="G391" s="11" t="n">
        <v>0.999990054529466</v>
      </c>
      <c r="H391" s="11" t="n">
        <v>0</v>
      </c>
      <c r="I391" s="11" t="n">
        <v>-0.00778081175131484</v>
      </c>
      <c r="J391" s="15" t="n">
        <v>1.00685824597439</v>
      </c>
    </row>
    <row r="392" customFormat="false" ht="15" hidden="false" customHeight="false" outlineLevel="0" collapsed="false">
      <c r="A392" s="5" t="s">
        <v>794</v>
      </c>
      <c r="B392" s="2" t="s">
        <v>472</v>
      </c>
      <c r="C392" s="5" t="s">
        <v>645</v>
      </c>
      <c r="D392" s="11" t="n">
        <v>0.9</v>
      </c>
      <c r="E392" s="11" t="n">
        <v>-0.001449111540065</v>
      </c>
      <c r="F392" s="11" t="n">
        <v>-0.001449111540065</v>
      </c>
      <c r="G392" s="11" t="n">
        <v>0.410365685873293</v>
      </c>
      <c r="H392" s="11" t="n">
        <v>0</v>
      </c>
      <c r="I392" s="11" t="n">
        <v>2.22044604925031E-016</v>
      </c>
      <c r="J392" s="15" t="n">
        <v>1.00181434708657</v>
      </c>
    </row>
    <row r="393" customFormat="false" ht="15" hidden="false" customHeight="false" outlineLevel="0" collapsed="false">
      <c r="A393" s="5" t="s">
        <v>794</v>
      </c>
      <c r="B393" s="2" t="s">
        <v>472</v>
      </c>
      <c r="C393" s="5" t="s">
        <v>645</v>
      </c>
      <c r="D393" s="11" t="n">
        <v>0.75</v>
      </c>
      <c r="E393" s="11" t="n">
        <v>-0.00361447564368822</v>
      </c>
      <c r="F393" s="11" t="n">
        <v>-0.00361447564368822</v>
      </c>
      <c r="G393" s="11" t="n">
        <v>0.763553044513102</v>
      </c>
      <c r="H393" s="11" t="n">
        <v>0</v>
      </c>
      <c r="I393" s="11" t="n">
        <v>2.22044604925031E-016</v>
      </c>
      <c r="J393" s="15" t="n">
        <v>1.00453653863086</v>
      </c>
    </row>
    <row r="394" customFormat="false" ht="15" hidden="false" customHeight="false" outlineLevel="0" collapsed="false">
      <c r="A394" s="5" t="s">
        <v>794</v>
      </c>
      <c r="B394" s="2" t="s">
        <v>472</v>
      </c>
      <c r="C394" s="5" t="s">
        <v>645</v>
      </c>
      <c r="D394" s="11" t="n">
        <v>0.5</v>
      </c>
      <c r="E394" s="11" t="n">
        <v>-0.00720144420330926</v>
      </c>
      <c r="F394" s="11" t="n">
        <v>-0.00720144420330926</v>
      </c>
      <c r="G394" s="11" t="n">
        <v>0.968975045131354</v>
      </c>
      <c r="H394" s="11" t="n">
        <v>0</v>
      </c>
      <c r="I394" s="11" t="n">
        <v>0</v>
      </c>
      <c r="J394" s="15" t="n">
        <v>1.00907530785103</v>
      </c>
    </row>
    <row r="395" customFormat="false" ht="15" hidden="false" customHeight="false" outlineLevel="0" collapsed="false">
      <c r="A395" s="5" t="s">
        <v>794</v>
      </c>
      <c r="B395" s="2" t="s">
        <v>472</v>
      </c>
      <c r="C395" s="5" t="s">
        <v>645</v>
      </c>
      <c r="D395" s="11" t="n">
        <v>0.25</v>
      </c>
      <c r="E395" s="11" t="n">
        <v>-0.0107612217485293</v>
      </c>
      <c r="F395" s="11" t="n">
        <v>-0.0107612217485293</v>
      </c>
      <c r="G395" s="11" t="n">
        <v>0.999033946505614</v>
      </c>
      <c r="H395" s="11" t="n">
        <v>0</v>
      </c>
      <c r="I395" s="11" t="n">
        <v>2.22044604925031E-016</v>
      </c>
      <c r="J395" s="15" t="n">
        <v>1.01361629686066</v>
      </c>
    </row>
    <row r="396" customFormat="false" ht="15" hidden="false" customHeight="false" outlineLevel="0" collapsed="false">
      <c r="A396" s="5" t="s">
        <v>794</v>
      </c>
      <c r="B396" s="2" t="s">
        <v>472</v>
      </c>
      <c r="C396" s="5" t="s">
        <v>645</v>
      </c>
      <c r="D396" s="11" t="n">
        <v>0.1</v>
      </c>
      <c r="E396" s="11" t="n">
        <v>-0.0128841662598744</v>
      </c>
      <c r="F396" s="11" t="n">
        <v>-0.0128841662598744</v>
      </c>
      <c r="G396" s="11" t="n">
        <v>0.999990128841663</v>
      </c>
      <c r="H396" s="11" t="n">
        <v>0</v>
      </c>
      <c r="I396" s="11" t="n">
        <v>0</v>
      </c>
      <c r="J396" s="15" t="n">
        <v>1.01634195130719</v>
      </c>
    </row>
    <row r="397" customFormat="false" ht="35.05" hidden="false" customHeight="false" outlineLevel="0" collapsed="false">
      <c r="A397" s="5" t="s">
        <v>794</v>
      </c>
      <c r="B397" s="2" t="s">
        <v>707</v>
      </c>
      <c r="C397" s="5" t="s">
        <v>642</v>
      </c>
      <c r="D397" s="11" t="n">
        <v>0.9</v>
      </c>
      <c r="E397" s="11" t="n">
        <v>-0.071098302314629</v>
      </c>
      <c r="F397" s="11" t="n">
        <v>-0.071098302314629</v>
      </c>
      <c r="I397" s="11" t="n">
        <v>-0.1</v>
      </c>
      <c r="L397" s="2" t="s">
        <v>708</v>
      </c>
    </row>
    <row r="398" customFormat="false" ht="35.05" hidden="false" customHeight="false" outlineLevel="0" collapsed="false">
      <c r="A398" s="5" t="s">
        <v>794</v>
      </c>
      <c r="B398" s="2" t="s">
        <v>707</v>
      </c>
      <c r="C398" s="5" t="s">
        <v>642</v>
      </c>
      <c r="D398" s="11" t="n">
        <v>0.75</v>
      </c>
      <c r="E398" s="11" t="n">
        <v>-0.182396231822987</v>
      </c>
      <c r="F398" s="11" t="n">
        <v>-0.182396231822987</v>
      </c>
      <c r="I398" s="11" t="n">
        <v>-0.25</v>
      </c>
      <c r="L398" s="2" t="s">
        <v>708</v>
      </c>
    </row>
    <row r="399" customFormat="false" ht="35.05" hidden="false" customHeight="false" outlineLevel="0" collapsed="false">
      <c r="A399" s="5" t="s">
        <v>794</v>
      </c>
      <c r="B399" s="2" t="s">
        <v>707</v>
      </c>
      <c r="C399" s="5" t="s">
        <v>642</v>
      </c>
      <c r="D399" s="11" t="n">
        <v>0.5</v>
      </c>
      <c r="E399" s="11" t="n">
        <v>-0.384427793327542</v>
      </c>
      <c r="F399" s="11" t="n">
        <v>-0.384427793327542</v>
      </c>
      <c r="I399" s="11" t="n">
        <v>-0.5</v>
      </c>
      <c r="L399" s="2" t="s">
        <v>708</v>
      </c>
    </row>
    <row r="400" customFormat="false" ht="35.05" hidden="false" customHeight="false" outlineLevel="0" collapsed="false">
      <c r="A400" s="5" t="s">
        <v>794</v>
      </c>
      <c r="B400" s="2" t="s">
        <v>707</v>
      </c>
      <c r="C400" s="5" t="s">
        <v>642</v>
      </c>
      <c r="D400" s="11" t="n">
        <v>0.25</v>
      </c>
      <c r="E400" s="11" t="n">
        <v>-0.621070858372401</v>
      </c>
      <c r="F400" s="11" t="n">
        <v>-0.621070858372401</v>
      </c>
      <c r="I400" s="11" t="n">
        <v>-0.75</v>
      </c>
      <c r="L400" s="2" t="s">
        <v>708</v>
      </c>
    </row>
    <row r="401" customFormat="false" ht="35.05" hidden="false" customHeight="false" outlineLevel="0" collapsed="false">
      <c r="A401" s="5" t="s">
        <v>794</v>
      </c>
      <c r="B401" s="2" t="s">
        <v>707</v>
      </c>
      <c r="C401" s="5" t="s">
        <v>642</v>
      </c>
      <c r="D401" s="11" t="n">
        <v>0.1</v>
      </c>
      <c r="E401" s="11" t="n">
        <v>-0.800473768503112</v>
      </c>
      <c r="F401" s="11" t="n">
        <v>-0.800473768503112</v>
      </c>
      <c r="I401" s="11" t="n">
        <v>-0.9</v>
      </c>
      <c r="L401" s="2" t="s">
        <v>708</v>
      </c>
    </row>
    <row r="402" customFormat="false" ht="35.05" hidden="false" customHeight="false" outlineLevel="0" collapsed="false">
      <c r="A402" s="5" t="s">
        <v>794</v>
      </c>
      <c r="B402" s="2" t="s">
        <v>707</v>
      </c>
      <c r="C402" s="5" t="s">
        <v>645</v>
      </c>
      <c r="D402" s="11" t="n">
        <v>0.9</v>
      </c>
      <c r="E402" s="11" t="n">
        <v>-1</v>
      </c>
      <c r="F402" s="11" t="n">
        <v>-1</v>
      </c>
      <c r="I402" s="11" t="n">
        <v>-0.1</v>
      </c>
      <c r="L402" s="2" t="s">
        <v>708</v>
      </c>
    </row>
    <row r="403" customFormat="false" ht="35.05" hidden="false" customHeight="false" outlineLevel="0" collapsed="false">
      <c r="A403" s="5" t="s">
        <v>794</v>
      </c>
      <c r="B403" s="2" t="s">
        <v>707</v>
      </c>
      <c r="C403" s="5" t="s">
        <v>645</v>
      </c>
      <c r="D403" s="11" t="n">
        <v>0.75</v>
      </c>
      <c r="E403" s="11" t="n">
        <v>-1</v>
      </c>
      <c r="F403" s="11" t="n">
        <v>-1</v>
      </c>
      <c r="I403" s="11" t="n">
        <v>-0.25</v>
      </c>
      <c r="L403" s="2" t="s">
        <v>708</v>
      </c>
    </row>
    <row r="404" customFormat="false" ht="35.05" hidden="false" customHeight="false" outlineLevel="0" collapsed="false">
      <c r="A404" s="5" t="s">
        <v>794</v>
      </c>
      <c r="B404" s="2" t="s">
        <v>707</v>
      </c>
      <c r="C404" s="5" t="s">
        <v>645</v>
      </c>
      <c r="D404" s="11" t="n">
        <v>0.5</v>
      </c>
      <c r="E404" s="11" t="n">
        <v>-1</v>
      </c>
      <c r="F404" s="11" t="n">
        <v>-1</v>
      </c>
      <c r="I404" s="11" t="n">
        <v>-0.5</v>
      </c>
      <c r="L404" s="2" t="s">
        <v>708</v>
      </c>
    </row>
    <row r="405" customFormat="false" ht="35.05" hidden="false" customHeight="false" outlineLevel="0" collapsed="false">
      <c r="A405" s="5" t="s">
        <v>794</v>
      </c>
      <c r="B405" s="2" t="s">
        <v>707</v>
      </c>
      <c r="C405" s="5" t="s">
        <v>645</v>
      </c>
      <c r="D405" s="11" t="n">
        <v>0.25</v>
      </c>
      <c r="E405" s="11" t="n">
        <v>-1</v>
      </c>
      <c r="F405" s="11" t="n">
        <v>-1</v>
      </c>
      <c r="I405" s="11" t="n">
        <v>-0.75</v>
      </c>
      <c r="L405" s="2" t="s">
        <v>708</v>
      </c>
    </row>
    <row r="406" customFormat="false" ht="35.05" hidden="false" customHeight="false" outlineLevel="0" collapsed="false">
      <c r="A406" s="5" t="s">
        <v>794</v>
      </c>
      <c r="B406" s="2" t="s">
        <v>707</v>
      </c>
      <c r="C406" s="5" t="s">
        <v>645</v>
      </c>
      <c r="D406" s="11" t="n">
        <v>0.1</v>
      </c>
      <c r="E406" s="11" t="n">
        <v>-1</v>
      </c>
      <c r="F406" s="11" t="n">
        <v>-1</v>
      </c>
      <c r="I406" s="11" t="n">
        <v>-0.9</v>
      </c>
      <c r="L406" s="2" t="s">
        <v>708</v>
      </c>
    </row>
    <row r="407" customFormat="false" ht="15" hidden="false" customHeight="false" outlineLevel="0" collapsed="false">
      <c r="A407" s="5" t="s">
        <v>795</v>
      </c>
      <c r="B407" s="2" t="s">
        <v>510</v>
      </c>
      <c r="C407" s="5" t="s">
        <v>642</v>
      </c>
      <c r="D407" s="11" t="n">
        <v>0.9</v>
      </c>
      <c r="E407" s="11" t="n">
        <v>-0.032729183242022</v>
      </c>
      <c r="F407" s="11" t="n">
        <v>-0.032729183242022</v>
      </c>
      <c r="G407" s="11" t="n">
        <v>0.120235682264245</v>
      </c>
      <c r="H407" s="11" t="n">
        <v>0</v>
      </c>
      <c r="I407" s="11" t="n">
        <v>-0.0219402427800367</v>
      </c>
      <c r="J407" s="15" t="n">
        <v>1.04536804410261</v>
      </c>
    </row>
    <row r="408" customFormat="false" ht="15" hidden="false" customHeight="false" outlineLevel="0" collapsed="false">
      <c r="A408" s="5" t="s">
        <v>795</v>
      </c>
      <c r="B408" s="2" t="s">
        <v>510</v>
      </c>
      <c r="C408" s="5" t="s">
        <v>642</v>
      </c>
      <c r="D408" s="11" t="n">
        <v>0.75</v>
      </c>
      <c r="E408" s="11" t="n">
        <v>-0.0793302934299547</v>
      </c>
      <c r="F408" s="11" t="n">
        <v>-0.0793302934299547</v>
      </c>
      <c r="G408" s="11" t="n">
        <v>0.289344714340313</v>
      </c>
      <c r="H408" s="11" t="n">
        <v>0</v>
      </c>
      <c r="I408" s="11" t="n">
        <v>-0.0536119765274861</v>
      </c>
      <c r="J408" s="15" t="n">
        <v>1.11650720161607</v>
      </c>
    </row>
    <row r="409" customFormat="false" ht="15" hidden="false" customHeight="false" outlineLevel="0" collapsed="false">
      <c r="A409" s="5" t="s">
        <v>795</v>
      </c>
      <c r="B409" s="2" t="s">
        <v>510</v>
      </c>
      <c r="C409" s="5" t="s">
        <v>642</v>
      </c>
      <c r="D409" s="11" t="n">
        <v>0.5</v>
      </c>
      <c r="E409" s="11" t="n">
        <v>-0.150664914995447</v>
      </c>
      <c r="F409" s="11" t="n">
        <v>-0.150664914995447</v>
      </c>
      <c r="G409" s="11" t="n">
        <v>0.544852597545557</v>
      </c>
      <c r="H409" s="11" t="n">
        <v>0</v>
      </c>
      <c r="I409" s="11" t="n">
        <v>-0.103150900480239</v>
      </c>
      <c r="J409" s="15" t="n">
        <v>1.24325795615169</v>
      </c>
    </row>
    <row r="410" customFormat="false" ht="15" hidden="false" customHeight="false" outlineLevel="0" collapsed="false">
      <c r="A410" s="5" t="s">
        <v>795</v>
      </c>
      <c r="B410" s="2" t="s">
        <v>510</v>
      </c>
      <c r="C410" s="5" t="s">
        <v>642</v>
      </c>
      <c r="D410" s="11" t="n">
        <v>0.25</v>
      </c>
      <c r="E410" s="11" t="n">
        <v>-0.214625477296314</v>
      </c>
      <c r="F410" s="11" t="n">
        <v>-0.214625477296314</v>
      </c>
      <c r="G410" s="11" t="n">
        <v>0.774460394428424</v>
      </c>
      <c r="H410" s="11" t="n">
        <v>0</v>
      </c>
      <c r="I410" s="11" t="n">
        <v>-0.148761601727529</v>
      </c>
      <c r="J410" s="15" t="n">
        <v>1.38005879221996</v>
      </c>
    </row>
    <row r="411" customFormat="false" ht="15" hidden="false" customHeight="false" outlineLevel="0" collapsed="false">
      <c r="A411" s="5" t="s">
        <v>795</v>
      </c>
      <c r="B411" s="2" t="s">
        <v>510</v>
      </c>
      <c r="C411" s="5" t="s">
        <v>642</v>
      </c>
      <c r="D411" s="11" t="n">
        <v>0.1</v>
      </c>
      <c r="E411" s="11" t="n">
        <v>-0.249733543849153</v>
      </c>
      <c r="F411" s="11" t="n">
        <v>-0.249733543849153</v>
      </c>
      <c r="G411" s="11" t="n">
        <v>0.905547049273494</v>
      </c>
      <c r="H411" s="11" t="n">
        <v>0</v>
      </c>
      <c r="I411" s="11" t="n">
        <v>-0.17432268405699</v>
      </c>
      <c r="J411" s="15" t="n">
        <v>1.46682834426309</v>
      </c>
    </row>
    <row r="412" customFormat="false" ht="15" hidden="false" customHeight="false" outlineLevel="0" collapsed="false">
      <c r="A412" s="5" t="s">
        <v>795</v>
      </c>
      <c r="B412" s="2" t="s">
        <v>510</v>
      </c>
      <c r="C412" s="5" t="s">
        <v>645</v>
      </c>
      <c r="D412" s="11" t="n">
        <v>0.9</v>
      </c>
      <c r="E412" s="11" t="n">
        <v>-0.0644452243060931</v>
      </c>
      <c r="F412" s="11" t="n">
        <v>-0.0644452243060931</v>
      </c>
      <c r="G412" s="11" t="n">
        <v>0.149082454796403</v>
      </c>
      <c r="H412" s="11" t="n">
        <v>0</v>
      </c>
      <c r="I412" s="11" t="n">
        <v>2.22044604925031E-016</v>
      </c>
      <c r="J412" s="15" t="n">
        <v>1.09288476856037</v>
      </c>
    </row>
    <row r="413" customFormat="false" ht="15" hidden="false" customHeight="false" outlineLevel="0" collapsed="false">
      <c r="A413" s="5" t="s">
        <v>795</v>
      </c>
      <c r="B413" s="2" t="s">
        <v>510</v>
      </c>
      <c r="C413" s="5" t="s">
        <v>645</v>
      </c>
      <c r="D413" s="11" t="n">
        <v>0.75</v>
      </c>
      <c r="E413" s="11" t="n">
        <v>-0.145766534567878</v>
      </c>
      <c r="F413" s="11" t="n">
        <v>-0.145766534567878</v>
      </c>
      <c r="G413" s="11" t="n">
        <v>0.340626151740833</v>
      </c>
      <c r="H413" s="11" t="n">
        <v>0</v>
      </c>
      <c r="I413" s="11" t="n">
        <v>0</v>
      </c>
      <c r="J413" s="15" t="n">
        <v>1.23376153151116</v>
      </c>
    </row>
    <row r="414" customFormat="false" ht="15" hidden="false" customHeight="false" outlineLevel="0" collapsed="false">
      <c r="A414" s="5" t="s">
        <v>795</v>
      </c>
      <c r="B414" s="2" t="s">
        <v>510</v>
      </c>
      <c r="C414" s="5" t="s">
        <v>645</v>
      </c>
      <c r="D414" s="11" t="n">
        <v>0.5</v>
      </c>
      <c r="E414" s="11" t="n">
        <v>-0.251761587195868</v>
      </c>
      <c r="F414" s="11" t="n">
        <v>-0.251761587195868</v>
      </c>
      <c r="G414" s="11" t="n">
        <v>0.599028962753128</v>
      </c>
      <c r="H414" s="11" t="n">
        <v>0</v>
      </c>
      <c r="I414" s="11" t="n">
        <v>0</v>
      </c>
      <c r="J414" s="15" t="n">
        <v>1.47213170645228</v>
      </c>
    </row>
    <row r="415" customFormat="false" ht="15" hidden="false" customHeight="false" outlineLevel="0" collapsed="false">
      <c r="A415" s="5" t="s">
        <v>795</v>
      </c>
      <c r="B415" s="2" t="s">
        <v>510</v>
      </c>
      <c r="C415" s="5" t="s">
        <v>645</v>
      </c>
      <c r="D415" s="11" t="n">
        <v>0.25</v>
      </c>
      <c r="E415" s="11" t="n">
        <v>-0.332519338737337</v>
      </c>
      <c r="F415" s="11" t="n">
        <v>-0.332519338737337</v>
      </c>
      <c r="G415" s="11" t="n">
        <v>0.808316515603812</v>
      </c>
      <c r="H415" s="11" t="n">
        <v>0</v>
      </c>
      <c r="I415" s="11" t="n">
        <v>2.22044604925031E-016</v>
      </c>
      <c r="J415" s="15" t="n">
        <v>1.71427996679604</v>
      </c>
    </row>
    <row r="416" customFormat="false" ht="15" hidden="false" customHeight="false" outlineLevel="0" collapsed="false">
      <c r="A416" s="5" t="s">
        <v>795</v>
      </c>
      <c r="B416" s="2" t="s">
        <v>510</v>
      </c>
      <c r="C416" s="5" t="s">
        <v>645</v>
      </c>
      <c r="D416" s="11" t="n">
        <v>0.1</v>
      </c>
      <c r="E416" s="11" t="n">
        <v>-0.372421675729624</v>
      </c>
      <c r="F416" s="11" t="n">
        <v>-0.372421675729624</v>
      </c>
      <c r="G416" s="11" t="n">
        <v>0.920992569968482</v>
      </c>
      <c r="H416" s="11" t="n">
        <v>0</v>
      </c>
      <c r="I416" s="11" t="n">
        <v>2.22044604925031E-016</v>
      </c>
      <c r="J416" s="15" t="n">
        <v>1.86112732892877</v>
      </c>
    </row>
    <row r="417" customFormat="false" ht="15" hidden="false" customHeight="false" outlineLevel="0" collapsed="false">
      <c r="A417" s="5" t="s">
        <v>795</v>
      </c>
      <c r="B417" s="2" t="s">
        <v>514</v>
      </c>
      <c r="C417" s="5" t="s">
        <v>642</v>
      </c>
      <c r="D417" s="11" t="n">
        <v>0.9</v>
      </c>
      <c r="E417" s="11" t="n">
        <v>-0.0150881805197811</v>
      </c>
      <c r="F417" s="11" t="n">
        <v>-0.0150881805197811</v>
      </c>
      <c r="G417" s="11" t="n">
        <v>0.0899207104844716</v>
      </c>
      <c r="H417" s="11" t="n">
        <v>0</v>
      </c>
      <c r="I417" s="11" t="n">
        <v>-0.0100842529436743</v>
      </c>
      <c r="J417" s="15" t="n">
        <v>1.01918568100209</v>
      </c>
    </row>
    <row r="418" customFormat="false" ht="15" hidden="false" customHeight="false" outlineLevel="0" collapsed="false">
      <c r="A418" s="5" t="s">
        <v>795</v>
      </c>
      <c r="B418" s="2" t="s">
        <v>514</v>
      </c>
      <c r="C418" s="5" t="s">
        <v>642</v>
      </c>
      <c r="D418" s="11" t="n">
        <v>0.75</v>
      </c>
      <c r="E418" s="11" t="n">
        <v>-0.0371683715855444</v>
      </c>
      <c r="F418" s="11" t="n">
        <v>-0.0371683715855444</v>
      </c>
      <c r="G418" s="11" t="n">
        <v>0.224027562022847</v>
      </c>
      <c r="H418" s="11" t="n">
        <v>0</v>
      </c>
      <c r="I418" s="11" t="n">
        <v>-0.02493500510409</v>
      </c>
      <c r="J418" s="15" t="n">
        <v>1.04848462133559</v>
      </c>
    </row>
    <row r="419" customFormat="false" ht="15" hidden="false" customHeight="false" outlineLevel="0" collapsed="false">
      <c r="A419" s="5" t="s">
        <v>795</v>
      </c>
      <c r="B419" s="2" t="s">
        <v>514</v>
      </c>
      <c r="C419" s="5" t="s">
        <v>642</v>
      </c>
      <c r="D419" s="11" t="n">
        <v>0.5</v>
      </c>
      <c r="E419" s="11" t="n">
        <v>-0.0725343945211607</v>
      </c>
      <c r="F419" s="11" t="n">
        <v>-0.0725343945211607</v>
      </c>
      <c r="G419" s="11" t="n">
        <v>0.448525651522129</v>
      </c>
      <c r="H419" s="11" t="n">
        <v>0</v>
      </c>
      <c r="I419" s="11" t="n">
        <v>-0.0489605286072509</v>
      </c>
      <c r="J419" s="15" t="n">
        <v>1.09869648148764</v>
      </c>
    </row>
    <row r="420" customFormat="false" ht="15" hidden="false" customHeight="false" outlineLevel="0" collapsed="false">
      <c r="A420" s="5" t="s">
        <v>795</v>
      </c>
      <c r="B420" s="2" t="s">
        <v>514</v>
      </c>
      <c r="C420" s="5" t="s">
        <v>642</v>
      </c>
      <c r="D420" s="11" t="n">
        <v>0.25</v>
      </c>
      <c r="E420" s="11" t="n">
        <v>-0.106169980979813</v>
      </c>
      <c r="F420" s="11" t="n">
        <v>-0.106169980979813</v>
      </c>
      <c r="G420" s="11" t="n">
        <v>0.683983366161363</v>
      </c>
      <c r="H420" s="11" t="n">
        <v>0</v>
      </c>
      <c r="I420" s="11" t="n">
        <v>-0.072095478812508</v>
      </c>
      <c r="J420" s="15" t="n">
        <v>1.15061843973982</v>
      </c>
    </row>
    <row r="421" customFormat="false" ht="15" hidden="false" customHeight="false" outlineLevel="0" collapsed="false">
      <c r="A421" s="5" t="s">
        <v>795</v>
      </c>
      <c r="B421" s="2" t="s">
        <v>514</v>
      </c>
      <c r="C421" s="5" t="s">
        <v>642</v>
      </c>
      <c r="D421" s="11" t="n">
        <v>0.1</v>
      </c>
      <c r="E421" s="11" t="n">
        <v>-0.125550962482402</v>
      </c>
      <c r="F421" s="11" t="n">
        <v>-0.125550962482402</v>
      </c>
      <c r="G421" s="11" t="n">
        <v>0.84449852814541</v>
      </c>
      <c r="H421" s="11" t="n">
        <v>0</v>
      </c>
      <c r="I421" s="11" t="n">
        <v>-0.0855576395040472</v>
      </c>
      <c r="J421" s="15" t="n">
        <v>1.18258364894678</v>
      </c>
    </row>
    <row r="422" customFormat="false" ht="15" hidden="false" customHeight="false" outlineLevel="0" collapsed="false">
      <c r="A422" s="5" t="s">
        <v>795</v>
      </c>
      <c r="B422" s="2" t="s">
        <v>514</v>
      </c>
      <c r="C422" s="5" t="s">
        <v>645</v>
      </c>
      <c r="D422" s="11" t="n">
        <v>0.9</v>
      </c>
      <c r="E422" s="11" t="n">
        <v>-0.0271466537605785</v>
      </c>
      <c r="F422" s="11" t="n">
        <v>-0.0271466537605785</v>
      </c>
      <c r="G422" s="11" t="n">
        <v>0.10106299402963</v>
      </c>
      <c r="H422" s="11" t="n">
        <v>0</v>
      </c>
      <c r="I422" s="11" t="n">
        <v>2.22044604925031E-016</v>
      </c>
      <c r="J422" s="15" t="n">
        <v>1.03500102215558</v>
      </c>
    </row>
    <row r="423" customFormat="false" ht="15" hidden="false" customHeight="false" outlineLevel="0" collapsed="false">
      <c r="A423" s="5" t="s">
        <v>795</v>
      </c>
      <c r="B423" s="2" t="s">
        <v>514</v>
      </c>
      <c r="C423" s="5" t="s">
        <v>645</v>
      </c>
      <c r="D423" s="11" t="n">
        <v>0.75</v>
      </c>
      <c r="E423" s="11" t="n">
        <v>-0.0651005194187373</v>
      </c>
      <c r="F423" s="11" t="n">
        <v>-0.0651005194187373</v>
      </c>
      <c r="G423" s="11" t="n">
        <v>0.246538846667446</v>
      </c>
      <c r="H423" s="11" t="n">
        <v>0</v>
      </c>
      <c r="I423" s="11" t="n">
        <v>2.22044604925031E-016</v>
      </c>
      <c r="J423" s="15" t="n">
        <v>1.08778696886923</v>
      </c>
    </row>
    <row r="424" customFormat="false" ht="15" hidden="false" customHeight="false" outlineLevel="0" collapsed="false">
      <c r="A424" s="5" t="s">
        <v>795</v>
      </c>
      <c r="B424" s="2" t="s">
        <v>514</v>
      </c>
      <c r="C424" s="5" t="s">
        <v>645</v>
      </c>
      <c r="D424" s="11" t="n">
        <v>0.5</v>
      </c>
      <c r="E424" s="11" t="n">
        <v>-0.121926685685804</v>
      </c>
      <c r="F424" s="11" t="n">
        <v>-0.121926685685804</v>
      </c>
      <c r="G424" s="11" t="n">
        <v>0.477894483561769</v>
      </c>
      <c r="H424" s="11" t="n">
        <v>0</v>
      </c>
      <c r="I424" s="11" t="n">
        <v>0</v>
      </c>
      <c r="J424" s="15" t="n">
        <v>1.17648535853103</v>
      </c>
    </row>
    <row r="425" customFormat="false" ht="15" hidden="false" customHeight="false" outlineLevel="0" collapsed="false">
      <c r="A425" s="5" t="s">
        <v>795</v>
      </c>
      <c r="B425" s="2" t="s">
        <v>514</v>
      </c>
      <c r="C425" s="5" t="s">
        <v>645</v>
      </c>
      <c r="D425" s="11" t="n">
        <v>0.25</v>
      </c>
      <c r="E425" s="11" t="n">
        <v>-0.171973688781172</v>
      </c>
      <c r="F425" s="11" t="n">
        <v>-0.171973688781172</v>
      </c>
      <c r="G425" s="11" t="n">
        <v>0.707248490168142</v>
      </c>
      <c r="H425" s="11" t="n">
        <v>0</v>
      </c>
      <c r="I425" s="11" t="n">
        <v>-1.11022302462516E-016</v>
      </c>
      <c r="J425" s="15" t="n">
        <v>1.26603242471638</v>
      </c>
    </row>
    <row r="426" customFormat="false" ht="15" hidden="false" customHeight="false" outlineLevel="0" collapsed="false">
      <c r="A426" s="5" t="s">
        <v>795</v>
      </c>
      <c r="B426" s="2" t="s">
        <v>514</v>
      </c>
      <c r="C426" s="5" t="s">
        <v>645</v>
      </c>
      <c r="D426" s="11" t="n">
        <v>0.1</v>
      </c>
      <c r="E426" s="11" t="n">
        <v>-0.199239374003271</v>
      </c>
      <c r="F426" s="11" t="n">
        <v>-0.199239374003271</v>
      </c>
      <c r="G426" s="11" t="n">
        <v>0.857602386642014</v>
      </c>
      <c r="H426" s="11" t="n">
        <v>0</v>
      </c>
      <c r="I426" s="11" t="n">
        <v>0</v>
      </c>
      <c r="J426" s="15" t="n">
        <v>1.32014492951334</v>
      </c>
    </row>
    <row r="427" customFormat="false" ht="15" hidden="false" customHeight="false" outlineLevel="0" collapsed="false">
      <c r="A427" s="5" t="s">
        <v>795</v>
      </c>
      <c r="B427" s="2" t="s">
        <v>516</v>
      </c>
      <c r="C427" s="5" t="s">
        <v>642</v>
      </c>
      <c r="D427" s="11" t="n">
        <v>0.9</v>
      </c>
      <c r="E427" s="11" t="n">
        <v>-0.0104983155789871</v>
      </c>
      <c r="F427" s="11" t="n">
        <v>-0.0104983155789871</v>
      </c>
      <c r="G427" s="11" t="n">
        <v>0.0904835771449747</v>
      </c>
      <c r="H427" s="11" t="n">
        <v>0</v>
      </c>
      <c r="I427" s="11" t="n">
        <v>-0.00701118061420525</v>
      </c>
      <c r="J427" s="15" t="n">
        <v>1.0141712219583</v>
      </c>
    </row>
    <row r="428" customFormat="false" ht="15" hidden="false" customHeight="false" outlineLevel="0" collapsed="false">
      <c r="A428" s="5" t="s">
        <v>795</v>
      </c>
      <c r="B428" s="2" t="s">
        <v>516</v>
      </c>
      <c r="C428" s="5" t="s">
        <v>642</v>
      </c>
      <c r="D428" s="11" t="n">
        <v>0.75</v>
      </c>
      <c r="E428" s="11" t="n">
        <v>-0.0259639600753179</v>
      </c>
      <c r="F428" s="11" t="n">
        <v>-0.0259639600753179</v>
      </c>
      <c r="G428" s="11" t="n">
        <v>0.226208353353253</v>
      </c>
      <c r="H428" s="11" t="n">
        <v>0</v>
      </c>
      <c r="I428" s="11" t="n">
        <v>-0.0173850874099324</v>
      </c>
      <c r="J428" s="15" t="n">
        <v>1.03569838305065</v>
      </c>
    </row>
    <row r="429" customFormat="false" ht="15" hidden="false" customHeight="false" outlineLevel="0" collapsed="false">
      <c r="A429" s="5" t="s">
        <v>795</v>
      </c>
      <c r="B429" s="2" t="s">
        <v>516</v>
      </c>
      <c r="C429" s="5" t="s">
        <v>642</v>
      </c>
      <c r="D429" s="11" t="n">
        <v>0.5</v>
      </c>
      <c r="E429" s="11" t="n">
        <v>-0.051003734126164</v>
      </c>
      <c r="F429" s="11" t="n">
        <v>-0.051003734126164</v>
      </c>
      <c r="G429" s="11" t="n">
        <v>0.454944775246198</v>
      </c>
      <c r="H429" s="11" t="n">
        <v>0</v>
      </c>
      <c r="I429" s="11" t="n">
        <v>-0.0342982856666375</v>
      </c>
      <c r="J429" s="15" t="n">
        <v>1.07229429466144</v>
      </c>
    </row>
    <row r="430" customFormat="false" ht="15" hidden="false" customHeight="false" outlineLevel="0" collapsed="false">
      <c r="A430" s="5" t="s">
        <v>795</v>
      </c>
      <c r="B430" s="2" t="s">
        <v>516</v>
      </c>
      <c r="C430" s="5" t="s">
        <v>642</v>
      </c>
      <c r="D430" s="11" t="n">
        <v>0.25</v>
      </c>
      <c r="E430" s="11" t="n">
        <v>-0.0751479863515656</v>
      </c>
      <c r="F430" s="11" t="n">
        <v>-0.0751479863515656</v>
      </c>
      <c r="G430" s="11" t="n">
        <v>0.694912612924163</v>
      </c>
      <c r="H430" s="11" t="n">
        <v>0</v>
      </c>
      <c r="I430" s="11" t="n">
        <v>-0.050748050686743</v>
      </c>
      <c r="J430" s="15" t="n">
        <v>1.10978028321887</v>
      </c>
    </row>
    <row r="431" customFormat="false" ht="15" hidden="false" customHeight="false" outlineLevel="0" collapsed="false">
      <c r="A431" s="5" t="s">
        <v>795</v>
      </c>
      <c r="B431" s="2" t="s">
        <v>516</v>
      </c>
      <c r="C431" s="5" t="s">
        <v>642</v>
      </c>
      <c r="D431" s="11" t="n">
        <v>0.1</v>
      </c>
      <c r="E431" s="11" t="n">
        <v>-0.0892166307413596</v>
      </c>
      <c r="F431" s="11" t="n">
        <v>-0.0892166307413596</v>
      </c>
      <c r="G431" s="11" t="n">
        <v>0.855650563825519</v>
      </c>
      <c r="H431" s="11" t="n">
        <v>0</v>
      </c>
      <c r="I431" s="11" t="n">
        <v>-0.0603991638501195</v>
      </c>
      <c r="J431" s="15" t="n">
        <v>1.13269559309351</v>
      </c>
    </row>
    <row r="432" customFormat="false" ht="15" hidden="false" customHeight="false" outlineLevel="0" collapsed="false">
      <c r="A432" s="5" t="s">
        <v>795</v>
      </c>
      <c r="B432" s="2" t="s">
        <v>516</v>
      </c>
      <c r="C432" s="5" t="s">
        <v>645</v>
      </c>
      <c r="D432" s="11" t="n">
        <v>0.9</v>
      </c>
      <c r="E432" s="11" t="n">
        <v>-0.0181226118608766</v>
      </c>
      <c r="F432" s="11" t="n">
        <v>-0.0181226118608766</v>
      </c>
      <c r="G432" s="11" t="n">
        <v>0.0974915719672863</v>
      </c>
      <c r="H432" s="11" t="n">
        <v>0</v>
      </c>
      <c r="I432" s="11" t="n">
        <v>2.22044604925031E-016</v>
      </c>
      <c r="J432" s="15" t="n">
        <v>1.02468486547638</v>
      </c>
    </row>
    <row r="433" customFormat="false" ht="15" hidden="false" customHeight="false" outlineLevel="0" collapsed="false">
      <c r="A433" s="5" t="s">
        <v>795</v>
      </c>
      <c r="B433" s="2" t="s">
        <v>516</v>
      </c>
      <c r="C433" s="5" t="s">
        <v>645</v>
      </c>
      <c r="D433" s="11" t="n">
        <v>0.75</v>
      </c>
      <c r="E433" s="11" t="n">
        <v>-0.044031093763149</v>
      </c>
      <c r="F433" s="11" t="n">
        <v>-0.044031093763149</v>
      </c>
      <c r="G433" s="11" t="n">
        <v>0.240561207409428</v>
      </c>
      <c r="H433" s="11" t="n">
        <v>0</v>
      </c>
      <c r="I433" s="11" t="n">
        <v>2.22044604925031E-016</v>
      </c>
      <c r="J433" s="15" t="n">
        <v>1.06187886697845</v>
      </c>
    </row>
    <row r="434" customFormat="false" ht="15" hidden="false" customHeight="false" outlineLevel="0" collapsed="false">
      <c r="A434" s="5" t="s">
        <v>795</v>
      </c>
      <c r="B434" s="2" t="s">
        <v>516</v>
      </c>
      <c r="C434" s="5" t="s">
        <v>645</v>
      </c>
      <c r="D434" s="11" t="n">
        <v>0.5</v>
      </c>
      <c r="E434" s="11" t="n">
        <v>-0.0841196946596989</v>
      </c>
      <c r="F434" s="11" t="n">
        <v>-0.0841196946596989</v>
      </c>
      <c r="G434" s="11" t="n">
        <v>0.473964899940707</v>
      </c>
      <c r="H434" s="11" t="n">
        <v>0</v>
      </c>
      <c r="I434" s="11" t="n">
        <v>2.22044604925031E-016</v>
      </c>
      <c r="J434" s="15" t="n">
        <v>1.1242986943765</v>
      </c>
    </row>
    <row r="435" customFormat="false" ht="15" hidden="false" customHeight="false" outlineLevel="0" collapsed="false">
      <c r="A435" s="5" t="s">
        <v>795</v>
      </c>
      <c r="B435" s="2" t="s">
        <v>516</v>
      </c>
      <c r="C435" s="5" t="s">
        <v>645</v>
      </c>
      <c r="D435" s="11" t="n">
        <v>0.25</v>
      </c>
      <c r="E435" s="11" t="n">
        <v>-0.120779352596708</v>
      </c>
      <c r="F435" s="11" t="n">
        <v>-0.120779352596708</v>
      </c>
      <c r="G435" s="11" t="n">
        <v>0.709965350109123</v>
      </c>
      <c r="H435" s="11" t="n">
        <v>0</v>
      </c>
      <c r="I435" s="11" t="n">
        <v>0</v>
      </c>
      <c r="J435" s="15" t="n">
        <v>1.18723355357578</v>
      </c>
    </row>
    <row r="436" customFormat="false" ht="15" hidden="false" customHeight="false" outlineLevel="0" collapsed="false">
      <c r="A436" s="5" t="s">
        <v>795</v>
      </c>
      <c r="B436" s="2" t="s">
        <v>516</v>
      </c>
      <c r="C436" s="5" t="s">
        <v>645</v>
      </c>
      <c r="D436" s="11" t="n">
        <v>0.1</v>
      </c>
      <c r="E436" s="11" t="n">
        <v>-0.141310185542306</v>
      </c>
      <c r="F436" s="11" t="n">
        <v>-0.141310185542306</v>
      </c>
      <c r="G436" s="11" t="n">
        <v>0.86390683586303</v>
      </c>
      <c r="H436" s="11" t="n">
        <v>0</v>
      </c>
      <c r="I436" s="11" t="n">
        <v>2.22044604925031E-016</v>
      </c>
      <c r="J436" s="15" t="n">
        <v>1.22523177552616</v>
      </c>
    </row>
    <row r="437" customFormat="false" ht="15" hidden="false" customHeight="false" outlineLevel="0" collapsed="false">
      <c r="A437" s="5" t="s">
        <v>795</v>
      </c>
      <c r="B437" s="2" t="s">
        <v>518</v>
      </c>
      <c r="C437" s="5" t="s">
        <v>642</v>
      </c>
      <c r="D437" s="11" t="n">
        <v>0.9</v>
      </c>
      <c r="E437" s="11" t="n">
        <v>-0.00593178060359012</v>
      </c>
      <c r="F437" s="11" t="n">
        <v>-0.00593178060359012</v>
      </c>
      <c r="G437" s="11" t="n">
        <v>0.123993757812622</v>
      </c>
      <c r="H437" s="11" t="n">
        <v>0</v>
      </c>
      <c r="I437" s="11" t="n">
        <v>-0.00395844030305326</v>
      </c>
      <c r="J437" s="15" t="n">
        <v>1.00796413769165</v>
      </c>
    </row>
    <row r="438" customFormat="false" ht="15" hidden="false" customHeight="false" outlineLevel="0" collapsed="false">
      <c r="A438" s="5" t="s">
        <v>795</v>
      </c>
      <c r="B438" s="2" t="s">
        <v>518</v>
      </c>
      <c r="C438" s="5" t="s">
        <v>642</v>
      </c>
      <c r="D438" s="11" t="n">
        <v>0.75</v>
      </c>
      <c r="E438" s="11" t="n">
        <v>-0.0147339379634353</v>
      </c>
      <c r="F438" s="11" t="n">
        <v>-0.0147339379634353</v>
      </c>
      <c r="G438" s="11" t="n">
        <v>0.302366961646428</v>
      </c>
      <c r="H438" s="11" t="n">
        <v>0</v>
      </c>
      <c r="I438" s="11" t="n">
        <v>-0.00984690562632185</v>
      </c>
      <c r="J438" s="15" t="n">
        <v>1.01998856255845</v>
      </c>
    </row>
    <row r="439" customFormat="false" ht="15" hidden="false" customHeight="false" outlineLevel="0" collapsed="false">
      <c r="A439" s="5" t="s">
        <v>795</v>
      </c>
      <c r="B439" s="2" t="s">
        <v>518</v>
      </c>
      <c r="C439" s="5" t="s">
        <v>642</v>
      </c>
      <c r="D439" s="11" t="n">
        <v>0.5</v>
      </c>
      <c r="E439" s="11" t="n">
        <v>-0.0291528613593974</v>
      </c>
      <c r="F439" s="11" t="n">
        <v>-0.0291528613593974</v>
      </c>
      <c r="G439" s="11" t="n">
        <v>0.577414238290997</v>
      </c>
      <c r="H439" s="11" t="n">
        <v>0</v>
      </c>
      <c r="I439" s="11" t="n">
        <v>-0.0195309178149985</v>
      </c>
      <c r="J439" s="15" t="n">
        <v>1.04023675167912</v>
      </c>
    </row>
    <row r="440" customFormat="false" ht="15" hidden="false" customHeight="false" outlineLevel="0" collapsed="false">
      <c r="A440" s="5" t="s">
        <v>795</v>
      </c>
      <c r="B440" s="2" t="s">
        <v>518</v>
      </c>
      <c r="C440" s="5" t="s">
        <v>642</v>
      </c>
      <c r="D440" s="11" t="n">
        <v>0.3</v>
      </c>
      <c r="E440" s="11" t="n">
        <v>-0.040465420057038</v>
      </c>
      <c r="F440" s="11" t="n">
        <v>-0.040465420057038</v>
      </c>
      <c r="G440" s="11" t="n">
        <v>0.773740857828452</v>
      </c>
      <c r="H440" s="11" t="n">
        <v>0</v>
      </c>
      <c r="I440" s="11" t="n">
        <v>-0.0271622371062393</v>
      </c>
      <c r="J440" s="15" t="n">
        <v>1.05662080864329</v>
      </c>
    </row>
    <row r="441" customFormat="false" ht="15" hidden="false" customHeight="false" outlineLevel="0" collapsed="false">
      <c r="A441" s="5" t="s">
        <v>795</v>
      </c>
      <c r="B441" s="2" t="s">
        <v>518</v>
      </c>
      <c r="C441" s="5" t="s">
        <v>645</v>
      </c>
      <c r="D441" s="11" t="n">
        <v>0.9</v>
      </c>
      <c r="E441" s="11" t="n">
        <v>-0.00976804125173914</v>
      </c>
      <c r="F441" s="11" t="n">
        <v>-0.00976804125173914</v>
      </c>
      <c r="G441" s="11" t="n">
        <v>0.127374399310724</v>
      </c>
      <c r="H441" s="11" t="n">
        <v>0</v>
      </c>
      <c r="I441" s="11" t="n">
        <v>0</v>
      </c>
      <c r="J441" s="15" t="n">
        <v>1.01317410587436</v>
      </c>
    </row>
    <row r="442" customFormat="false" ht="15" hidden="false" customHeight="false" outlineLevel="0" collapsed="false">
      <c r="A442" s="5" t="s">
        <v>795</v>
      </c>
      <c r="B442" s="2" t="s">
        <v>518</v>
      </c>
      <c r="C442" s="5" t="s">
        <v>645</v>
      </c>
      <c r="D442" s="11" t="n">
        <v>0.75</v>
      </c>
      <c r="E442" s="11" t="n">
        <v>-0.0240362691748663</v>
      </c>
      <c r="F442" s="11" t="n">
        <v>-0.0240362691748663</v>
      </c>
      <c r="G442" s="11" t="n">
        <v>0.308953622688409</v>
      </c>
      <c r="H442" s="11" t="n">
        <v>0</v>
      </c>
      <c r="I442" s="11" t="n">
        <v>2.22044604925031E-016</v>
      </c>
      <c r="J442" s="15" t="n">
        <v>1.03297171229693</v>
      </c>
    </row>
    <row r="443" customFormat="false" ht="15" hidden="false" customHeight="false" outlineLevel="0" collapsed="false">
      <c r="A443" s="5" t="s">
        <v>795</v>
      </c>
      <c r="B443" s="2" t="s">
        <v>518</v>
      </c>
      <c r="C443" s="5" t="s">
        <v>645</v>
      </c>
      <c r="D443" s="11" t="n">
        <v>0.5</v>
      </c>
      <c r="E443" s="11" t="n">
        <v>-0.0468465158016491</v>
      </c>
      <c r="F443" s="11" t="n">
        <v>-0.0468465158016491</v>
      </c>
      <c r="G443" s="11" t="n">
        <v>0.585115848711731</v>
      </c>
      <c r="H443" s="11" t="n">
        <v>0</v>
      </c>
      <c r="I443" s="11" t="n">
        <v>0</v>
      </c>
      <c r="J443" s="15" t="n">
        <v>1.06606302415908</v>
      </c>
    </row>
    <row r="444" customFormat="false" ht="15" hidden="false" customHeight="false" outlineLevel="0" collapsed="false">
      <c r="A444" s="5" t="s">
        <v>795</v>
      </c>
      <c r="B444" s="2" t="s">
        <v>518</v>
      </c>
      <c r="C444" s="5" t="s">
        <v>645</v>
      </c>
      <c r="D444" s="11" t="n">
        <v>0.3</v>
      </c>
      <c r="E444" s="11" t="n">
        <v>-0.064275122207988</v>
      </c>
      <c r="F444" s="11" t="n">
        <v>-0.064275122207988</v>
      </c>
      <c r="G444" s="11" t="n">
        <v>0.779355207635787</v>
      </c>
      <c r="H444" s="11" t="n">
        <v>0</v>
      </c>
      <c r="I444" s="11" t="n">
        <v>0</v>
      </c>
      <c r="J444" s="15" t="n">
        <v>1.09261988107204</v>
      </c>
    </row>
    <row r="445" customFormat="false" ht="15" hidden="false" customHeight="false" outlineLevel="0" collapsed="false">
      <c r="A445" s="5" t="s">
        <v>795</v>
      </c>
      <c r="B445" s="2" t="s">
        <v>521</v>
      </c>
      <c r="C445" s="5" t="s">
        <v>642</v>
      </c>
      <c r="D445" s="11" t="n">
        <v>0.9</v>
      </c>
      <c r="E445" s="11" t="n">
        <v>-0.00470451661745575</v>
      </c>
      <c r="F445" s="11" t="n">
        <v>-0.00470451661745575</v>
      </c>
      <c r="G445" s="11" t="n">
        <v>0.235181636614793</v>
      </c>
      <c r="H445" s="11" t="n">
        <v>0</v>
      </c>
      <c r="I445" s="11" t="n">
        <v>-0.00313880873171657</v>
      </c>
      <c r="J445" s="15" t="n">
        <v>1.00630729800704</v>
      </c>
    </row>
    <row r="446" customFormat="false" ht="15" hidden="false" customHeight="false" outlineLevel="0" collapsed="false">
      <c r="A446" s="5" t="s">
        <v>795</v>
      </c>
      <c r="B446" s="2" t="s">
        <v>521</v>
      </c>
      <c r="C446" s="5" t="s">
        <v>642</v>
      </c>
      <c r="D446" s="11" t="n">
        <v>0.75</v>
      </c>
      <c r="E446" s="11" t="n">
        <v>-0.0117004113739223</v>
      </c>
      <c r="F446" s="11" t="n">
        <v>-0.0117004113739223</v>
      </c>
      <c r="G446" s="11" t="n">
        <v>0.51856044045631</v>
      </c>
      <c r="H446" s="11" t="n">
        <v>0</v>
      </c>
      <c r="I446" s="11" t="n">
        <v>-0.00781556496334124</v>
      </c>
      <c r="J446" s="15" t="n">
        <v>1.01581630752041</v>
      </c>
    </row>
    <row r="447" customFormat="false" ht="15" hidden="false" customHeight="false" outlineLevel="0" collapsed="false">
      <c r="A447" s="5" t="s">
        <v>795</v>
      </c>
      <c r="B447" s="2" t="s">
        <v>521</v>
      </c>
      <c r="C447" s="5" t="s">
        <v>642</v>
      </c>
      <c r="D447" s="11" t="n">
        <v>0.5</v>
      </c>
      <c r="E447" s="11" t="n">
        <v>-0.0231996583874197</v>
      </c>
      <c r="F447" s="11" t="n">
        <v>-0.0231996583874197</v>
      </c>
      <c r="G447" s="11" t="n">
        <v>0.827324463645102</v>
      </c>
      <c r="H447" s="11" t="n">
        <v>0</v>
      </c>
      <c r="I447" s="11" t="n">
        <v>-0.0155268667073421</v>
      </c>
      <c r="J447" s="15" t="n">
        <v>1.03179225339597</v>
      </c>
    </row>
    <row r="448" customFormat="false" ht="15" hidden="false" customHeight="false" outlineLevel="0" collapsed="false">
      <c r="A448" s="5" t="s">
        <v>795</v>
      </c>
      <c r="B448" s="2" t="s">
        <v>521</v>
      </c>
      <c r="C448" s="5" t="s">
        <v>642</v>
      </c>
      <c r="D448" s="11" t="n">
        <v>0.4</v>
      </c>
      <c r="E448" s="11" t="n">
        <v>-0.0277437728214485</v>
      </c>
      <c r="F448" s="11" t="n">
        <v>-0.0277437728214485</v>
      </c>
      <c r="G448" s="11" t="n">
        <v>0.901614587290678</v>
      </c>
      <c r="H448" s="11" t="n">
        <v>0</v>
      </c>
      <c r="I448" s="11" t="n">
        <v>-0.0185824446005786</v>
      </c>
      <c r="J448" s="15" t="n">
        <v>1.03822708732857</v>
      </c>
    </row>
    <row r="449" customFormat="false" ht="15" hidden="false" customHeight="false" outlineLevel="0" collapsed="false">
      <c r="A449" s="5" t="s">
        <v>795</v>
      </c>
      <c r="B449" s="2" t="s">
        <v>521</v>
      </c>
      <c r="C449" s="5" t="s">
        <v>645</v>
      </c>
      <c r="D449" s="11" t="n">
        <v>0.9</v>
      </c>
      <c r="E449" s="11" t="n">
        <v>-0.0076123416619458</v>
      </c>
      <c r="F449" s="11" t="n">
        <v>-0.0076123416619458</v>
      </c>
      <c r="G449" s="11" t="n">
        <v>0.237416106708015</v>
      </c>
      <c r="H449" s="11" t="n">
        <v>0</v>
      </c>
      <c r="I449" s="11" t="n">
        <v>0</v>
      </c>
      <c r="J449" s="15" t="n">
        <v>1.01024069858537</v>
      </c>
    </row>
    <row r="450" customFormat="false" ht="15" hidden="false" customHeight="false" outlineLevel="0" collapsed="false">
      <c r="A450" s="5" t="s">
        <v>795</v>
      </c>
      <c r="B450" s="2" t="s">
        <v>521</v>
      </c>
      <c r="C450" s="5" t="s">
        <v>645</v>
      </c>
      <c r="D450" s="11" t="n">
        <v>0.75</v>
      </c>
      <c r="E450" s="11" t="n">
        <v>-0.0187972413147082</v>
      </c>
      <c r="F450" s="11" t="n">
        <v>-0.0187972413147082</v>
      </c>
      <c r="G450" s="11" t="n">
        <v>0.52201758515228</v>
      </c>
      <c r="H450" s="11" t="n">
        <v>0</v>
      </c>
      <c r="I450" s="11" t="n">
        <v>0</v>
      </c>
      <c r="J450" s="15" t="n">
        <v>1.02562434074597</v>
      </c>
    </row>
    <row r="451" customFormat="false" ht="15" hidden="false" customHeight="false" outlineLevel="0" collapsed="false">
      <c r="A451" s="5" t="s">
        <v>795</v>
      </c>
      <c r="B451" s="2" t="s">
        <v>521</v>
      </c>
      <c r="C451" s="5" t="s">
        <v>645</v>
      </c>
      <c r="D451" s="11" t="n">
        <v>0.5</v>
      </c>
      <c r="E451" s="11" t="n">
        <v>-0.0368413400254679</v>
      </c>
      <c r="F451" s="11" t="n">
        <v>-0.0368413400254679</v>
      </c>
      <c r="G451" s="11" t="n">
        <v>0.829735995043365</v>
      </c>
      <c r="H451" s="11" t="n">
        <v>0</v>
      </c>
      <c r="I451" s="11" t="n">
        <v>0</v>
      </c>
      <c r="J451" s="15" t="n">
        <v>1.05132313531735</v>
      </c>
    </row>
    <row r="452" customFormat="false" ht="15" hidden="false" customHeight="false" outlineLevel="0" collapsed="false">
      <c r="A452" s="5" t="s">
        <v>795</v>
      </c>
      <c r="B452" s="2" t="s">
        <v>521</v>
      </c>
      <c r="C452" s="5" t="s">
        <v>645</v>
      </c>
      <c r="D452" s="11" t="n">
        <v>0.4</v>
      </c>
      <c r="E452" s="11" t="n">
        <v>-0.0438583958338599</v>
      </c>
      <c r="F452" s="11" t="n">
        <v>-0.0438583958338599</v>
      </c>
      <c r="G452" s="11" t="n">
        <v>0.903245272486012</v>
      </c>
      <c r="H452" s="11" t="n">
        <v>0</v>
      </c>
      <c r="I452" s="11" t="n">
        <v>2.22044604925031E-016</v>
      </c>
      <c r="J452" s="15" t="n">
        <v>1.0616231464729</v>
      </c>
    </row>
    <row r="453" customFormat="false" ht="35.05" hidden="false" customHeight="false" outlineLevel="0" collapsed="false">
      <c r="A453" s="5" t="s">
        <v>795</v>
      </c>
      <c r="B453" s="2" t="s">
        <v>707</v>
      </c>
      <c r="C453" s="5" t="s">
        <v>642</v>
      </c>
      <c r="D453" s="11" t="n">
        <v>0.9</v>
      </c>
      <c r="E453" s="11" t="n">
        <v>-0.146185031754538</v>
      </c>
      <c r="F453" s="11" t="n">
        <v>-0.146185031754538</v>
      </c>
      <c r="I453" s="11" t="n">
        <v>-0.1</v>
      </c>
      <c r="L453" s="2" t="s">
        <v>708</v>
      </c>
    </row>
    <row r="454" customFormat="false" ht="35.05" hidden="false" customHeight="false" outlineLevel="0" collapsed="false">
      <c r="A454" s="5" t="s">
        <v>795</v>
      </c>
      <c r="B454" s="2" t="s">
        <v>707</v>
      </c>
      <c r="C454" s="5" t="s">
        <v>642</v>
      </c>
      <c r="D454" s="11" t="n">
        <v>0.75</v>
      </c>
      <c r="E454" s="11" t="n">
        <v>-0.350480947161671</v>
      </c>
      <c r="F454" s="11" t="n">
        <v>-0.350480947161671</v>
      </c>
      <c r="I454" s="11" t="n">
        <v>-0.25</v>
      </c>
      <c r="L454" s="2" t="s">
        <v>708</v>
      </c>
    </row>
    <row r="455" customFormat="false" ht="35.05" hidden="false" customHeight="false" outlineLevel="0" collapsed="false">
      <c r="A455" s="5" t="s">
        <v>795</v>
      </c>
      <c r="B455" s="2" t="s">
        <v>707</v>
      </c>
      <c r="C455" s="5" t="s">
        <v>642</v>
      </c>
      <c r="D455" s="11" t="n">
        <v>0.5</v>
      </c>
      <c r="E455" s="11" t="n">
        <v>-0.646446609406726</v>
      </c>
      <c r="F455" s="11" t="n">
        <v>-0.646446609406726</v>
      </c>
      <c r="I455" s="11" t="n">
        <v>-0.5</v>
      </c>
      <c r="L455" s="2" t="s">
        <v>708</v>
      </c>
    </row>
    <row r="456" customFormat="false" ht="35.05" hidden="false" customHeight="false" outlineLevel="0" collapsed="false">
      <c r="A456" s="5" t="s">
        <v>795</v>
      </c>
      <c r="B456" s="2" t="s">
        <v>707</v>
      </c>
      <c r="C456" s="5" t="s">
        <v>642</v>
      </c>
      <c r="D456" s="11" t="n">
        <v>0.25</v>
      </c>
      <c r="E456" s="11" t="n">
        <v>-0.875</v>
      </c>
      <c r="F456" s="11" t="n">
        <v>-0.875</v>
      </c>
      <c r="I456" s="11" t="n">
        <v>-0.75</v>
      </c>
      <c r="L456" s="2" t="s">
        <v>708</v>
      </c>
    </row>
    <row r="457" customFormat="false" ht="35.05" hidden="false" customHeight="false" outlineLevel="0" collapsed="false">
      <c r="A457" s="5" t="s">
        <v>795</v>
      </c>
      <c r="B457" s="2" t="s">
        <v>707</v>
      </c>
      <c r="C457" s="5" t="s">
        <v>642</v>
      </c>
      <c r="D457" s="11" t="n">
        <v>0.1</v>
      </c>
      <c r="E457" s="11" t="n">
        <v>-0.968377223398316</v>
      </c>
      <c r="F457" s="11" t="n">
        <v>-0.968377223398316</v>
      </c>
      <c r="I457" s="11" t="n">
        <v>-0.9</v>
      </c>
      <c r="L457" s="2" t="s">
        <v>708</v>
      </c>
    </row>
    <row r="458" customFormat="false" ht="35.05" hidden="false" customHeight="false" outlineLevel="0" collapsed="false">
      <c r="A458" s="5" t="s">
        <v>795</v>
      </c>
      <c r="B458" s="2" t="s">
        <v>707</v>
      </c>
      <c r="C458" s="5" t="s">
        <v>645</v>
      </c>
      <c r="D458" s="11" t="n">
        <v>0.9</v>
      </c>
      <c r="E458" s="11" t="n">
        <v>-1</v>
      </c>
      <c r="F458" s="11" t="n">
        <v>-1</v>
      </c>
      <c r="I458" s="11" t="n">
        <v>-0.1</v>
      </c>
      <c r="L458" s="2" t="s">
        <v>708</v>
      </c>
    </row>
    <row r="459" customFormat="false" ht="35.05" hidden="false" customHeight="false" outlineLevel="0" collapsed="false">
      <c r="A459" s="5" t="s">
        <v>795</v>
      </c>
      <c r="B459" s="2" t="s">
        <v>707</v>
      </c>
      <c r="C459" s="5" t="s">
        <v>645</v>
      </c>
      <c r="D459" s="11" t="n">
        <v>0.75</v>
      </c>
      <c r="E459" s="11" t="n">
        <v>-1</v>
      </c>
      <c r="F459" s="11" t="n">
        <v>-1</v>
      </c>
      <c r="I459" s="11" t="n">
        <v>-0.25</v>
      </c>
      <c r="L459" s="2" t="s">
        <v>708</v>
      </c>
    </row>
    <row r="460" customFormat="false" ht="35.05" hidden="false" customHeight="false" outlineLevel="0" collapsed="false">
      <c r="A460" s="5" t="s">
        <v>795</v>
      </c>
      <c r="B460" s="2" t="s">
        <v>707</v>
      </c>
      <c r="C460" s="5" t="s">
        <v>645</v>
      </c>
      <c r="D460" s="11" t="n">
        <v>0.5</v>
      </c>
      <c r="E460" s="11" t="n">
        <v>-1</v>
      </c>
      <c r="F460" s="11" t="n">
        <v>-1</v>
      </c>
      <c r="I460" s="11" t="n">
        <v>-0.5</v>
      </c>
      <c r="L460" s="2" t="s">
        <v>708</v>
      </c>
    </row>
    <row r="461" customFormat="false" ht="35.05" hidden="false" customHeight="false" outlineLevel="0" collapsed="false">
      <c r="A461" s="5" t="s">
        <v>795</v>
      </c>
      <c r="B461" s="2" t="s">
        <v>707</v>
      </c>
      <c r="C461" s="5" t="s">
        <v>645</v>
      </c>
      <c r="D461" s="11" t="n">
        <v>0.25</v>
      </c>
      <c r="E461" s="11" t="n">
        <v>-1</v>
      </c>
      <c r="F461" s="11" t="n">
        <v>-1</v>
      </c>
      <c r="I461" s="11" t="n">
        <v>-0.75</v>
      </c>
      <c r="L461" s="2" t="s">
        <v>708</v>
      </c>
    </row>
    <row r="462" customFormat="false" ht="35.05" hidden="false" customHeight="false" outlineLevel="0" collapsed="false">
      <c r="A462" s="5" t="s">
        <v>795</v>
      </c>
      <c r="B462" s="2" t="s">
        <v>707</v>
      </c>
      <c r="C462" s="5" t="s">
        <v>645</v>
      </c>
      <c r="D462" s="11" t="n">
        <v>0.1</v>
      </c>
      <c r="E462" s="11" t="n">
        <v>-1</v>
      </c>
      <c r="F462" s="11" t="n">
        <v>-1</v>
      </c>
      <c r="I462" s="11" t="n">
        <v>-0.9</v>
      </c>
      <c r="L462" s="2" t="s">
        <v>708</v>
      </c>
    </row>
    <row r="463" customFormat="false" ht="15" hidden="false" customHeight="false" outlineLevel="0" collapsed="false">
      <c r="A463" s="5" t="s">
        <v>796</v>
      </c>
      <c r="B463" s="2" t="s">
        <v>559</v>
      </c>
      <c r="C463" s="5" t="s">
        <v>642</v>
      </c>
      <c r="D463" s="11" t="n">
        <v>0.9</v>
      </c>
      <c r="E463" s="11" t="n">
        <v>-0.0041724449593219</v>
      </c>
      <c r="F463" s="11" t="n">
        <v>-0.0041724449593219</v>
      </c>
      <c r="G463" s="11" t="n">
        <v>0.113148510791356</v>
      </c>
      <c r="H463" s="11" t="n">
        <v>0</v>
      </c>
      <c r="I463" s="11" t="n">
        <v>-0.0802224925714155</v>
      </c>
      <c r="J463" s="15" t="n">
        <v>1.00418992719995</v>
      </c>
    </row>
    <row r="464" customFormat="false" ht="15" hidden="false" customHeight="false" outlineLevel="0" collapsed="false">
      <c r="A464" s="5" t="s">
        <v>796</v>
      </c>
      <c r="B464" s="2" t="s">
        <v>559</v>
      </c>
      <c r="C464" s="5" t="s">
        <v>642</v>
      </c>
      <c r="D464" s="11" t="n">
        <v>0.75</v>
      </c>
      <c r="E464" s="11" t="n">
        <v>-0.0111247758545767</v>
      </c>
      <c r="F464" s="11" t="n">
        <v>-0.0111247758545767</v>
      </c>
      <c r="G464" s="11" t="n">
        <v>0.279375728343717</v>
      </c>
      <c r="H464" s="11" t="n">
        <v>0</v>
      </c>
      <c r="I464" s="11" t="n">
        <v>-0.200478919115317</v>
      </c>
      <c r="J464" s="15" t="n">
        <v>1.01124992879075</v>
      </c>
    </row>
    <row r="465" customFormat="false" ht="15" hidden="false" customHeight="false" outlineLevel="0" collapsed="false">
      <c r="A465" s="5" t="s">
        <v>796</v>
      </c>
      <c r="B465" s="2" t="s">
        <v>559</v>
      </c>
      <c r="C465" s="5" t="s">
        <v>642</v>
      </c>
      <c r="D465" s="11" t="n">
        <v>0.5</v>
      </c>
      <c r="E465" s="11" t="n">
        <v>-0.0252679943754817</v>
      </c>
      <c r="F465" s="11" t="n">
        <v>-0.0252679943754817</v>
      </c>
      <c r="G465" s="11" t="n">
        <v>0.545271440422742</v>
      </c>
      <c r="H465" s="11" t="n">
        <v>0</v>
      </c>
      <c r="I465" s="11" t="n">
        <v>-0.400616849952531</v>
      </c>
      <c r="J465" s="15" t="n">
        <v>1.02592301702384</v>
      </c>
    </row>
    <row r="466" customFormat="false" ht="15" hidden="false" customHeight="false" outlineLevel="0" collapsed="false">
      <c r="A466" s="5" t="s">
        <v>796</v>
      </c>
      <c r="B466" s="2" t="s">
        <v>559</v>
      </c>
      <c r="C466" s="5" t="s">
        <v>642</v>
      </c>
      <c r="D466" s="11" t="n">
        <v>0.25</v>
      </c>
      <c r="E466" s="11" t="n">
        <v>-0.0447962840595673</v>
      </c>
      <c r="F466" s="11" t="n">
        <v>-0.0447962840595673</v>
      </c>
      <c r="G466" s="11" t="n">
        <v>0.792111716756376</v>
      </c>
      <c r="H466" s="11" t="n">
        <v>0</v>
      </c>
      <c r="I466" s="11" t="n">
        <v>-0.600128855522959</v>
      </c>
      <c r="J466" s="15" t="n">
        <v>1.04689709986677</v>
      </c>
    </row>
    <row r="467" customFormat="false" ht="15" hidden="false" customHeight="false" outlineLevel="0" collapsed="false">
      <c r="A467" s="5" t="s">
        <v>796</v>
      </c>
      <c r="B467" s="2" t="s">
        <v>559</v>
      </c>
      <c r="C467" s="5" t="s">
        <v>642</v>
      </c>
      <c r="D467" s="11" t="n">
        <v>0.1</v>
      </c>
      <c r="E467" s="11" t="n">
        <v>-0.061536670611172</v>
      </c>
      <c r="F467" s="11" t="n">
        <v>-0.061536670611172</v>
      </c>
      <c r="G467" s="11" t="n">
        <v>0.92545520802131</v>
      </c>
      <c r="H467" s="11" t="n">
        <v>0</v>
      </c>
      <c r="I467" s="11" t="n">
        <v>-0.719232947237098</v>
      </c>
      <c r="J467" s="15" t="n">
        <v>1.06557173699184</v>
      </c>
    </row>
    <row r="468" customFormat="false" ht="15" hidden="false" customHeight="false" outlineLevel="0" collapsed="false">
      <c r="A468" s="5" t="s">
        <v>796</v>
      </c>
      <c r="B468" s="2" t="s">
        <v>559</v>
      </c>
      <c r="C468" s="5" t="s">
        <v>645</v>
      </c>
      <c r="D468" s="11" t="n">
        <v>0.9</v>
      </c>
      <c r="E468" s="11" t="n">
        <v>-0.45806151933697</v>
      </c>
      <c r="F468" s="11" t="n">
        <v>-0.45806151933697</v>
      </c>
      <c r="G468" s="11" t="n">
        <v>0.517367292958824</v>
      </c>
      <c r="H468" s="11" t="n">
        <v>0</v>
      </c>
      <c r="I468" s="11" t="n">
        <v>0</v>
      </c>
      <c r="J468" s="15" t="n">
        <v>1.84522789150635</v>
      </c>
    </row>
    <row r="469" customFormat="false" ht="15" hidden="false" customHeight="false" outlineLevel="0" collapsed="false">
      <c r="A469" s="5" t="s">
        <v>796</v>
      </c>
      <c r="B469" s="2" t="s">
        <v>559</v>
      </c>
      <c r="C469" s="5" t="s">
        <v>645</v>
      </c>
      <c r="D469" s="11" t="n">
        <v>0.75</v>
      </c>
      <c r="E469" s="11" t="n">
        <v>-0.688265677037726</v>
      </c>
      <c r="F469" s="11" t="n">
        <v>-0.688265677037726</v>
      </c>
      <c r="G469" s="11" t="n">
        <v>0.772829459218085</v>
      </c>
      <c r="H469" s="11" t="n">
        <v>0</v>
      </c>
      <c r="I469" s="11" t="n">
        <v>2.22044604925031E-016</v>
      </c>
      <c r="J469" s="15" t="n">
        <v>3.20785979066226</v>
      </c>
    </row>
    <row r="470" customFormat="false" ht="15" hidden="false" customHeight="false" outlineLevel="0" collapsed="false">
      <c r="A470" s="5" t="s">
        <v>796</v>
      </c>
      <c r="B470" s="2" t="s">
        <v>559</v>
      </c>
      <c r="C470" s="5" t="s">
        <v>645</v>
      </c>
      <c r="D470" s="11" t="n">
        <v>0.5</v>
      </c>
      <c r="E470" s="11" t="n">
        <v>-0.821010626419534</v>
      </c>
      <c r="F470" s="11" t="n">
        <v>-0.821010626419534</v>
      </c>
      <c r="G470" s="11" t="n">
        <v>0.916498504657459</v>
      </c>
      <c r="H470" s="11" t="n">
        <v>0</v>
      </c>
      <c r="I470" s="11" t="n">
        <v>0</v>
      </c>
      <c r="J470" s="15" t="n">
        <v>5.58692384914371</v>
      </c>
    </row>
    <row r="471" customFormat="false" ht="15" hidden="false" customHeight="false" outlineLevel="0" collapsed="false">
      <c r="A471" s="5" t="s">
        <v>796</v>
      </c>
      <c r="B471" s="2" t="s">
        <v>559</v>
      </c>
      <c r="C471" s="5" t="s">
        <v>645</v>
      </c>
      <c r="D471" s="11" t="n">
        <v>0.25</v>
      </c>
      <c r="E471" s="11" t="n">
        <v>-0.875450562799237</v>
      </c>
      <c r="F471" s="11" t="n">
        <v>-0.875450562799237</v>
      </c>
      <c r="G471" s="11" t="n">
        <v>0.972893354321665</v>
      </c>
      <c r="H471" s="11" t="n">
        <v>0</v>
      </c>
      <c r="I471" s="11" t="n">
        <v>2.22044604925031E-016</v>
      </c>
      <c r="J471" s="15" t="n">
        <v>8.02894033465671</v>
      </c>
    </row>
    <row r="472" customFormat="false" ht="15" hidden="false" customHeight="false" outlineLevel="0" collapsed="false">
      <c r="A472" s="5" t="s">
        <v>796</v>
      </c>
      <c r="B472" s="2" t="s">
        <v>559</v>
      </c>
      <c r="C472" s="5" t="s">
        <v>645</v>
      </c>
      <c r="D472" s="11" t="n">
        <v>0.1</v>
      </c>
      <c r="E472" s="11" t="n">
        <v>-0.894860827821985</v>
      </c>
      <c r="F472" s="11" t="n">
        <v>-0.894860827821985</v>
      </c>
      <c r="G472" s="11" t="n">
        <v>0.991648498696347</v>
      </c>
      <c r="H472" s="11" t="n">
        <v>0</v>
      </c>
      <c r="I472" s="11" t="n">
        <v>0</v>
      </c>
      <c r="J472" s="15" t="n">
        <v>9.51120290643783</v>
      </c>
    </row>
    <row r="473" customFormat="false" ht="15" hidden="false" customHeight="false" outlineLevel="0" collapsed="false">
      <c r="A473" s="5" t="s">
        <v>796</v>
      </c>
      <c r="B473" s="2" t="s">
        <v>551</v>
      </c>
      <c r="C473" s="5" t="s">
        <v>642</v>
      </c>
      <c r="D473" s="11" t="n">
        <v>0.9</v>
      </c>
      <c r="E473" s="11" t="n">
        <v>-0.000374739443310901</v>
      </c>
      <c r="F473" s="11" t="n">
        <v>-0.000374739443310901</v>
      </c>
      <c r="G473" s="11" t="n">
        <v>0.10033726549898</v>
      </c>
      <c r="H473" s="11" t="n">
        <v>0</v>
      </c>
      <c r="I473" s="11" t="n">
        <v>-0.00746816712917942</v>
      </c>
      <c r="J473" s="15" t="n">
        <v>1.00034079412593</v>
      </c>
    </row>
    <row r="474" customFormat="false" ht="15" hidden="false" customHeight="false" outlineLevel="0" collapsed="false">
      <c r="A474" s="5" t="s">
        <v>796</v>
      </c>
      <c r="B474" s="2" t="s">
        <v>551</v>
      </c>
      <c r="C474" s="5" t="s">
        <v>642</v>
      </c>
      <c r="D474" s="11" t="n">
        <v>0.75</v>
      </c>
      <c r="E474" s="11" t="n">
        <v>-0.000941695552382438</v>
      </c>
      <c r="F474" s="11" t="n">
        <v>-0.000941695552382438</v>
      </c>
      <c r="G474" s="11" t="n">
        <v>0.250706271664287</v>
      </c>
      <c r="H474" s="11" t="n">
        <v>0</v>
      </c>
      <c r="I474" s="11" t="n">
        <v>-0.0186663690502842</v>
      </c>
      <c r="J474" s="15" t="n">
        <v>1.00085685709811</v>
      </c>
    </row>
    <row r="475" customFormat="false" ht="15" hidden="false" customHeight="false" outlineLevel="0" collapsed="false">
      <c r="A475" s="5" t="s">
        <v>796</v>
      </c>
      <c r="B475" s="2" t="s">
        <v>551</v>
      </c>
      <c r="C475" s="5" t="s">
        <v>642</v>
      </c>
      <c r="D475" s="11" t="n">
        <v>0.5</v>
      </c>
      <c r="E475" s="11" t="n">
        <v>-0.00189985063627907</v>
      </c>
      <c r="F475" s="11" t="n">
        <v>-0.00189985063627907</v>
      </c>
      <c r="G475" s="11" t="n">
        <v>0.50094992531814</v>
      </c>
      <c r="H475" s="11" t="n">
        <v>0</v>
      </c>
      <c r="I475" s="11" t="n">
        <v>-0.0373189752392733</v>
      </c>
      <c r="J475" s="15" t="n">
        <v>1.00173027487522</v>
      </c>
    </row>
    <row r="476" customFormat="false" ht="15" hidden="false" customHeight="false" outlineLevel="0" collapsed="false">
      <c r="A476" s="5" t="s">
        <v>796</v>
      </c>
      <c r="B476" s="2" t="s">
        <v>551</v>
      </c>
      <c r="C476" s="5" t="s">
        <v>642</v>
      </c>
      <c r="D476" s="11" t="n">
        <v>0.3</v>
      </c>
      <c r="E476" s="11" t="n">
        <v>-0.00267861957482807</v>
      </c>
      <c r="F476" s="11" t="n">
        <v>-0.00267861957482807</v>
      </c>
      <c r="G476" s="11" t="n">
        <v>0.700803585872448</v>
      </c>
      <c r="H476" s="11" t="n">
        <v>0</v>
      </c>
      <c r="I476" s="11" t="n">
        <v>-0.0522308034368325</v>
      </c>
      <c r="J476" s="15" t="n">
        <v>1.00244135116131</v>
      </c>
    </row>
    <row r="477" customFormat="false" ht="15" hidden="false" customHeight="false" outlineLevel="0" collapsed="false">
      <c r="A477" s="5" t="s">
        <v>796</v>
      </c>
      <c r="B477" s="2" t="s">
        <v>551</v>
      </c>
      <c r="C477" s="5" t="s">
        <v>645</v>
      </c>
      <c r="D477" s="11" t="n">
        <v>0.9</v>
      </c>
      <c r="E477" s="11" t="n">
        <v>-0.0101507837862651</v>
      </c>
      <c r="F477" s="11" t="n">
        <v>-0.0101507837862651</v>
      </c>
      <c r="G477" s="11" t="n">
        <v>0.109135705407639</v>
      </c>
      <c r="H477" s="11" t="n">
        <v>0</v>
      </c>
      <c r="I477" s="11" t="n">
        <v>2.22044604925031E-016</v>
      </c>
      <c r="J477" s="15" t="n">
        <v>1.00931828769003</v>
      </c>
    </row>
    <row r="478" customFormat="false" ht="15" hidden="false" customHeight="false" outlineLevel="0" collapsed="false">
      <c r="A478" s="5" t="s">
        <v>796</v>
      </c>
      <c r="B478" s="2" t="s">
        <v>551</v>
      </c>
      <c r="C478" s="5" t="s">
        <v>645</v>
      </c>
      <c r="D478" s="11" t="n">
        <v>0.75</v>
      </c>
      <c r="E478" s="11" t="n">
        <v>-0.0250172287902153</v>
      </c>
      <c r="F478" s="11" t="n">
        <v>-0.0250172287902153</v>
      </c>
      <c r="G478" s="11" t="n">
        <v>0.268762921592661</v>
      </c>
      <c r="H478" s="11" t="n">
        <v>0</v>
      </c>
      <c r="I478" s="11" t="n">
        <v>0</v>
      </c>
      <c r="J478" s="15" t="n">
        <v>1.02329954386213</v>
      </c>
    </row>
    <row r="479" customFormat="false" ht="15" hidden="false" customHeight="false" outlineLevel="0" collapsed="false">
      <c r="A479" s="5" t="s">
        <v>796</v>
      </c>
      <c r="B479" s="2" t="s">
        <v>551</v>
      </c>
      <c r="C479" s="5" t="s">
        <v>645</v>
      </c>
      <c r="D479" s="11" t="n">
        <v>0.5</v>
      </c>
      <c r="E479" s="11" t="n">
        <v>-0.0488786878050223</v>
      </c>
      <c r="F479" s="11" t="n">
        <v>-0.0488786878050223</v>
      </c>
      <c r="G479" s="11" t="n">
        <v>0.524439343902511</v>
      </c>
      <c r="H479" s="11" t="n">
        <v>0</v>
      </c>
      <c r="I479" s="11" t="n">
        <v>2.22044604925031E-016</v>
      </c>
      <c r="J479" s="15" t="n">
        <v>1.04661157484144</v>
      </c>
    </row>
    <row r="480" customFormat="false" ht="15" hidden="false" customHeight="false" outlineLevel="0" collapsed="false">
      <c r="A480" s="5" t="s">
        <v>796</v>
      </c>
      <c r="B480" s="2" t="s">
        <v>551</v>
      </c>
      <c r="C480" s="5" t="s">
        <v>645</v>
      </c>
      <c r="D480" s="11" t="n">
        <v>0.3</v>
      </c>
      <c r="E480" s="11" t="n">
        <v>-0.0671874273492394</v>
      </c>
      <c r="F480" s="11" t="n">
        <v>-0.0671874273492394</v>
      </c>
      <c r="G480" s="11" t="n">
        <v>0.720156228204772</v>
      </c>
      <c r="H480" s="11" t="n">
        <v>0</v>
      </c>
      <c r="I480" s="11" t="n">
        <v>2.22044604925031E-016</v>
      </c>
      <c r="J480" s="15" t="n">
        <v>1.06526987226905</v>
      </c>
    </row>
    <row r="481" customFormat="false" ht="15" hidden="false" customHeight="false" outlineLevel="0" collapsed="false">
      <c r="A481" s="5" t="s">
        <v>796</v>
      </c>
      <c r="B481" s="2" t="s">
        <v>565</v>
      </c>
      <c r="C481" s="5" t="s">
        <v>642</v>
      </c>
      <c r="D481" s="11" t="n">
        <v>0.9</v>
      </c>
      <c r="E481" s="11" t="n">
        <v>-0.000560442758446911</v>
      </c>
      <c r="F481" s="11" t="n">
        <v>-0.000560442758446911</v>
      </c>
      <c r="G481" s="11" t="n">
        <v>0.409840935844435</v>
      </c>
      <c r="H481" s="11" t="n">
        <v>0</v>
      </c>
      <c r="I481" s="11" t="n">
        <v>-0.0111493771130382</v>
      </c>
      <c r="J481" s="15" t="n">
        <v>1.00056075703066</v>
      </c>
    </row>
    <row r="482" customFormat="false" ht="15" hidden="false" customHeight="false" outlineLevel="0" collapsed="false">
      <c r="A482" s="5" t="s">
        <v>796</v>
      </c>
      <c r="B482" s="2" t="s">
        <v>565</v>
      </c>
      <c r="C482" s="5" t="s">
        <v>642</v>
      </c>
      <c r="D482" s="11" t="n">
        <v>0.75</v>
      </c>
      <c r="E482" s="11" t="n">
        <v>-0.00141196511179431</v>
      </c>
      <c r="F482" s="11" t="n">
        <v>-0.00141196511179431</v>
      </c>
      <c r="G482" s="11" t="n">
        <v>0.763030378439615</v>
      </c>
      <c r="H482" s="11" t="n">
        <v>0</v>
      </c>
      <c r="I482" s="11" t="n">
        <v>-0.0278636994768873</v>
      </c>
      <c r="J482" s="15" t="n">
        <v>1.00141396157621</v>
      </c>
    </row>
    <row r="483" customFormat="false" ht="15" hidden="false" customHeight="false" outlineLevel="0" collapsed="false">
      <c r="A483" s="5" t="s">
        <v>796</v>
      </c>
      <c r="B483" s="2" t="s">
        <v>565</v>
      </c>
      <c r="C483" s="5" t="s">
        <v>642</v>
      </c>
      <c r="D483" s="11" t="n">
        <v>0.5</v>
      </c>
      <c r="E483" s="11" t="n">
        <v>-0.00286114718015451</v>
      </c>
      <c r="F483" s="11" t="n">
        <v>-0.00286114718015451</v>
      </c>
      <c r="G483" s="11" t="n">
        <v>0.96883941084938</v>
      </c>
      <c r="H483" s="11" t="n">
        <v>0</v>
      </c>
      <c r="I483" s="11" t="n">
        <v>-0.0556939517420849</v>
      </c>
      <c r="J483" s="15" t="n">
        <v>1.00286935683236</v>
      </c>
    </row>
    <row r="484" customFormat="false" ht="15" hidden="false" customHeight="false" outlineLevel="0" collapsed="false">
      <c r="A484" s="5" t="s">
        <v>796</v>
      </c>
      <c r="B484" s="2" t="s">
        <v>565</v>
      </c>
      <c r="C484" s="5" t="s">
        <v>642</v>
      </c>
      <c r="D484" s="11" t="n">
        <v>0.25</v>
      </c>
      <c r="E484" s="11" t="n">
        <v>-0.00434956485210769</v>
      </c>
      <c r="F484" s="11" t="n">
        <v>-0.00434956485210769</v>
      </c>
      <c r="G484" s="11" t="n">
        <v>0.999027685121926</v>
      </c>
      <c r="H484" s="11" t="n">
        <v>0</v>
      </c>
      <c r="I484" s="11" t="n">
        <v>-0.0834888395900908</v>
      </c>
      <c r="J484" s="15" t="n">
        <v>1.00436856621417</v>
      </c>
    </row>
    <row r="485" customFormat="false" ht="15" hidden="false" customHeight="false" outlineLevel="0" collapsed="false">
      <c r="A485" s="5" t="s">
        <v>796</v>
      </c>
      <c r="B485" s="2" t="s">
        <v>565</v>
      </c>
      <c r="C485" s="5" t="s">
        <v>642</v>
      </c>
      <c r="D485" s="11" t="n">
        <v>0.1</v>
      </c>
      <c r="E485" s="11" t="n">
        <v>-0.00526235033018341</v>
      </c>
      <c r="F485" s="11" t="n">
        <v>-0.00526235033018341</v>
      </c>
      <c r="G485" s="11" t="n">
        <v>0.999990052623503</v>
      </c>
      <c r="H485" s="11" t="n">
        <v>0</v>
      </c>
      <c r="I485" s="11" t="n">
        <v>-0.100147938496093</v>
      </c>
      <c r="J485" s="15" t="n">
        <v>1.00529018915885</v>
      </c>
    </row>
    <row r="486" customFormat="false" ht="15" hidden="false" customHeight="false" outlineLevel="0" collapsed="false">
      <c r="A486" s="5" t="s">
        <v>796</v>
      </c>
      <c r="B486" s="2" t="s">
        <v>565</v>
      </c>
      <c r="C486" s="5" t="s">
        <v>645</v>
      </c>
      <c r="D486" s="11" t="n">
        <v>0.9</v>
      </c>
      <c r="E486" s="11" t="n">
        <v>-0.0141205559749917</v>
      </c>
      <c r="F486" s="11" t="n">
        <v>-0.0141205559749917</v>
      </c>
      <c r="G486" s="11" t="n">
        <v>0.417848047097673</v>
      </c>
      <c r="H486" s="11" t="n">
        <v>0</v>
      </c>
      <c r="I486" s="11" t="n">
        <v>0</v>
      </c>
      <c r="J486" s="15" t="n">
        <v>1.01432280190095</v>
      </c>
    </row>
    <row r="487" customFormat="false" ht="15" hidden="false" customHeight="false" outlineLevel="0" collapsed="false">
      <c r="A487" s="5" t="s">
        <v>796</v>
      </c>
      <c r="B487" s="2" t="s">
        <v>565</v>
      </c>
      <c r="C487" s="5" t="s">
        <v>645</v>
      </c>
      <c r="D487" s="11" t="n">
        <v>0.75</v>
      </c>
      <c r="E487" s="11" t="n">
        <v>-0.0345982175653758</v>
      </c>
      <c r="F487" s="11" t="n">
        <v>-0.0345982175653758</v>
      </c>
      <c r="G487" s="11" t="n">
        <v>0.770905631707409</v>
      </c>
      <c r="H487" s="11" t="n">
        <v>0</v>
      </c>
      <c r="I487" s="11" t="n">
        <v>2.22044604925031E-016</v>
      </c>
      <c r="J487" s="15" t="n">
        <v>1.03583815380797</v>
      </c>
    </row>
    <row r="488" customFormat="false" ht="15" hidden="false" customHeight="false" outlineLevel="0" collapsed="false">
      <c r="A488" s="5" t="s">
        <v>796</v>
      </c>
      <c r="B488" s="2" t="s">
        <v>565</v>
      </c>
      <c r="C488" s="5" t="s">
        <v>645</v>
      </c>
      <c r="D488" s="11" t="n">
        <v>0.5</v>
      </c>
      <c r="E488" s="11" t="n">
        <v>-0.0669714181376409</v>
      </c>
      <c r="F488" s="11" t="n">
        <v>-0.0669714181376409</v>
      </c>
      <c r="G488" s="11" t="n">
        <v>0.970842856816801</v>
      </c>
      <c r="H488" s="11" t="n">
        <v>0</v>
      </c>
      <c r="I488" s="11" t="n">
        <v>0</v>
      </c>
      <c r="J488" s="15" t="n">
        <v>1.07177852794602</v>
      </c>
    </row>
    <row r="489" customFormat="false" ht="15" hidden="false" customHeight="false" outlineLevel="0" collapsed="false">
      <c r="A489" s="5" t="s">
        <v>796</v>
      </c>
      <c r="B489" s="2" t="s">
        <v>565</v>
      </c>
      <c r="C489" s="5" t="s">
        <v>645</v>
      </c>
      <c r="D489" s="11" t="n">
        <v>0.25</v>
      </c>
      <c r="E489" s="11" t="n">
        <v>-0.0973248296778069</v>
      </c>
      <c r="F489" s="11" t="n">
        <v>-0.0973248296778069</v>
      </c>
      <c r="G489" s="11" t="n">
        <v>0.999118481278982</v>
      </c>
      <c r="H489" s="11" t="n">
        <v>0</v>
      </c>
      <c r="I489" s="11" t="n">
        <v>2.22044604925031E-016</v>
      </c>
      <c r="J489" s="15" t="n">
        <v>1.1078182195297</v>
      </c>
    </row>
    <row r="490" customFormat="false" ht="15" hidden="false" customHeight="false" outlineLevel="0" collapsed="false">
      <c r="A490" s="5" t="s">
        <v>796</v>
      </c>
      <c r="B490" s="2" t="s">
        <v>565</v>
      </c>
      <c r="C490" s="5" t="s">
        <v>645</v>
      </c>
      <c r="D490" s="11" t="n">
        <v>0.1</v>
      </c>
      <c r="E490" s="11" t="n">
        <v>-0.114643535527756</v>
      </c>
      <c r="F490" s="11" t="n">
        <v>-0.114643535527756</v>
      </c>
      <c r="G490" s="11" t="n">
        <v>0.999991146435355</v>
      </c>
      <c r="H490" s="11" t="n">
        <v>0</v>
      </c>
      <c r="I490" s="11" t="n">
        <v>2.22044604925031E-016</v>
      </c>
      <c r="J490" s="15" t="n">
        <v>1.12948856209696</v>
      </c>
    </row>
    <row r="491" customFormat="false" ht="35.05" hidden="false" customHeight="false" outlineLevel="0" collapsed="false">
      <c r="A491" s="5" t="s">
        <v>796</v>
      </c>
      <c r="B491" s="2" t="s">
        <v>707</v>
      </c>
      <c r="C491" s="5" t="s">
        <v>642</v>
      </c>
      <c r="D491" s="11" t="n">
        <v>0.9</v>
      </c>
      <c r="E491" s="11" t="n">
        <v>-0.00525417406946893</v>
      </c>
      <c r="F491" s="11" t="n">
        <v>-0.00525417406946893</v>
      </c>
      <c r="I491" s="11" t="n">
        <v>-0.1</v>
      </c>
      <c r="L491" s="2" t="s">
        <v>708</v>
      </c>
    </row>
    <row r="492" customFormat="false" ht="35.05" hidden="false" customHeight="false" outlineLevel="0" collapsed="false">
      <c r="A492" s="5" t="s">
        <v>796</v>
      </c>
      <c r="B492" s="2" t="s">
        <v>707</v>
      </c>
      <c r="C492" s="5" t="s">
        <v>642</v>
      </c>
      <c r="D492" s="11" t="n">
        <v>0.75</v>
      </c>
      <c r="E492" s="11" t="n">
        <v>-0.0142811466431854</v>
      </c>
      <c r="F492" s="11" t="n">
        <v>-0.0142811466431854</v>
      </c>
      <c r="I492" s="11" t="n">
        <v>-0.25</v>
      </c>
      <c r="L492" s="2" t="s">
        <v>708</v>
      </c>
    </row>
    <row r="493" customFormat="false" ht="35.05" hidden="false" customHeight="false" outlineLevel="0" collapsed="false">
      <c r="A493" s="5" t="s">
        <v>796</v>
      </c>
      <c r="B493" s="2" t="s">
        <v>707</v>
      </c>
      <c r="C493" s="5" t="s">
        <v>642</v>
      </c>
      <c r="D493" s="11" t="n">
        <v>0.5</v>
      </c>
      <c r="E493" s="11" t="n">
        <v>-0.0340636710751544</v>
      </c>
      <c r="F493" s="11" t="n">
        <v>-0.0340636710751544</v>
      </c>
      <c r="I493" s="11" t="n">
        <v>-0.5</v>
      </c>
      <c r="L493" s="2" t="s">
        <v>708</v>
      </c>
    </row>
    <row r="494" customFormat="false" ht="35.05" hidden="false" customHeight="false" outlineLevel="0" collapsed="false">
      <c r="A494" s="5" t="s">
        <v>796</v>
      </c>
      <c r="B494" s="2" t="s">
        <v>707</v>
      </c>
      <c r="C494" s="5" t="s">
        <v>642</v>
      </c>
      <c r="D494" s="11" t="n">
        <v>0.25</v>
      </c>
      <c r="E494" s="11" t="n">
        <v>-0.0669670084631926</v>
      </c>
      <c r="F494" s="11" t="n">
        <v>-0.0669670084631926</v>
      </c>
      <c r="I494" s="11" t="n">
        <v>-0.75</v>
      </c>
      <c r="L494" s="2" t="s">
        <v>708</v>
      </c>
    </row>
    <row r="495" customFormat="false" ht="35.05" hidden="false" customHeight="false" outlineLevel="0" collapsed="false">
      <c r="A495" s="5" t="s">
        <v>796</v>
      </c>
      <c r="B495" s="2" t="s">
        <v>707</v>
      </c>
      <c r="C495" s="5" t="s">
        <v>642</v>
      </c>
      <c r="D495" s="11" t="n">
        <v>0.1</v>
      </c>
      <c r="E495" s="11" t="n">
        <v>-0.108749061866254</v>
      </c>
      <c r="F495" s="11" t="n">
        <v>-0.108749061866254</v>
      </c>
      <c r="I495" s="11" t="n">
        <v>-0.9</v>
      </c>
      <c r="L495" s="2" t="s">
        <v>708</v>
      </c>
    </row>
    <row r="496" customFormat="false" ht="35.05" hidden="false" customHeight="false" outlineLevel="0" collapsed="false">
      <c r="A496" s="5" t="s">
        <v>796</v>
      </c>
      <c r="B496" s="2" t="s">
        <v>707</v>
      </c>
      <c r="C496" s="5" t="s">
        <v>645</v>
      </c>
      <c r="D496" s="11" t="n">
        <v>0.9</v>
      </c>
      <c r="E496" s="11" t="n">
        <v>-1</v>
      </c>
      <c r="F496" s="11" t="n">
        <v>-1</v>
      </c>
      <c r="I496" s="11" t="n">
        <v>-0.1</v>
      </c>
      <c r="L496" s="2" t="s">
        <v>708</v>
      </c>
    </row>
    <row r="497" customFormat="false" ht="35.05" hidden="false" customHeight="false" outlineLevel="0" collapsed="false">
      <c r="A497" s="5" t="s">
        <v>796</v>
      </c>
      <c r="B497" s="2" t="s">
        <v>707</v>
      </c>
      <c r="C497" s="5" t="s">
        <v>645</v>
      </c>
      <c r="D497" s="11" t="n">
        <v>0.75</v>
      </c>
      <c r="E497" s="11" t="n">
        <v>-1</v>
      </c>
      <c r="F497" s="11" t="n">
        <v>-1</v>
      </c>
      <c r="I497" s="11" t="n">
        <v>-0.25</v>
      </c>
      <c r="L497" s="2" t="s">
        <v>708</v>
      </c>
    </row>
    <row r="498" customFormat="false" ht="35.05" hidden="false" customHeight="false" outlineLevel="0" collapsed="false">
      <c r="A498" s="5" t="s">
        <v>796</v>
      </c>
      <c r="B498" s="2" t="s">
        <v>707</v>
      </c>
      <c r="C498" s="5" t="s">
        <v>645</v>
      </c>
      <c r="D498" s="11" t="n">
        <v>0.5</v>
      </c>
      <c r="E498" s="11" t="n">
        <v>-1</v>
      </c>
      <c r="F498" s="11" t="n">
        <v>-1</v>
      </c>
      <c r="I498" s="11" t="n">
        <v>-0.5</v>
      </c>
      <c r="L498" s="2" t="s">
        <v>708</v>
      </c>
    </row>
    <row r="499" customFormat="false" ht="35.05" hidden="false" customHeight="false" outlineLevel="0" collapsed="false">
      <c r="A499" s="5" t="s">
        <v>796</v>
      </c>
      <c r="B499" s="2" t="s">
        <v>707</v>
      </c>
      <c r="C499" s="5" t="s">
        <v>645</v>
      </c>
      <c r="D499" s="11" t="n">
        <v>0.25</v>
      </c>
      <c r="E499" s="11" t="n">
        <v>-1</v>
      </c>
      <c r="F499" s="11" t="n">
        <v>-1</v>
      </c>
      <c r="I499" s="11" t="n">
        <v>-0.75</v>
      </c>
      <c r="L499" s="2" t="s">
        <v>708</v>
      </c>
    </row>
    <row r="500" customFormat="false" ht="35.05" hidden="false" customHeight="false" outlineLevel="0" collapsed="false">
      <c r="A500" s="5" t="s">
        <v>796</v>
      </c>
      <c r="B500" s="2" t="s">
        <v>707</v>
      </c>
      <c r="C500" s="5" t="s">
        <v>645</v>
      </c>
      <c r="D500" s="11" t="n">
        <v>0.1</v>
      </c>
      <c r="E500" s="11" t="n">
        <v>-1</v>
      </c>
      <c r="F500" s="11" t="n">
        <v>-1</v>
      </c>
      <c r="I500" s="11" t="n">
        <v>-0.9</v>
      </c>
      <c r="L500" s="2" t="s">
        <v>708</v>
      </c>
    </row>
    <row r="501" customFormat="false" ht="15" hidden="false" customHeight="false" outlineLevel="0" collapsed="false">
      <c r="A501" s="5" t="s">
        <v>797</v>
      </c>
      <c r="B501" s="2" t="s">
        <v>586</v>
      </c>
      <c r="C501" s="5" t="s">
        <v>642</v>
      </c>
      <c r="D501" s="11" t="n">
        <v>0.9</v>
      </c>
      <c r="E501" s="11" t="n">
        <v>-0.0777265104307492</v>
      </c>
      <c r="F501" s="11" t="n">
        <v>-0.0777265104307492</v>
      </c>
      <c r="G501" s="11" t="n">
        <v>0.169953859387674</v>
      </c>
      <c r="H501" s="11" t="n">
        <v>0</v>
      </c>
      <c r="I501" s="11" t="n">
        <v>-0.0961951729897407</v>
      </c>
      <c r="J501" s="15" t="n">
        <v>1.0273381714992</v>
      </c>
    </row>
    <row r="502" customFormat="false" ht="15" hidden="false" customHeight="false" outlineLevel="0" collapsed="false">
      <c r="A502" s="5" t="s">
        <v>797</v>
      </c>
      <c r="B502" s="2" t="s">
        <v>586</v>
      </c>
      <c r="C502" s="5" t="s">
        <v>642</v>
      </c>
      <c r="D502" s="11" t="n">
        <v>0.75</v>
      </c>
      <c r="E502" s="11" t="n">
        <v>-0.197338011846259</v>
      </c>
      <c r="F502" s="11" t="n">
        <v>-0.197338011846259</v>
      </c>
      <c r="G502" s="11" t="n">
        <v>0.398003508884694</v>
      </c>
      <c r="H502" s="11" t="n">
        <v>0</v>
      </c>
      <c r="I502" s="11" t="n">
        <v>-0.240258463760121</v>
      </c>
      <c r="J502" s="15" t="n">
        <v>1.07602518039179</v>
      </c>
    </row>
    <row r="503" customFormat="false" ht="15" hidden="false" customHeight="false" outlineLevel="0" collapsed="false">
      <c r="A503" s="5" t="s">
        <v>797</v>
      </c>
      <c r="B503" s="2" t="s">
        <v>586</v>
      </c>
      <c r="C503" s="5" t="s">
        <v>642</v>
      </c>
      <c r="D503" s="11" t="n">
        <v>0.5</v>
      </c>
      <c r="E503" s="11" t="n">
        <v>-0.406777987843599</v>
      </c>
      <c r="F503" s="11" t="n">
        <v>-0.406777987843599</v>
      </c>
      <c r="G503" s="11" t="n">
        <v>0.7033889939218</v>
      </c>
      <c r="H503" s="11" t="n">
        <v>0</v>
      </c>
      <c r="I503" s="11" t="n">
        <v>-0.479379131845329</v>
      </c>
      <c r="J503" s="15" t="n">
        <v>1.19012957447516</v>
      </c>
    </row>
    <row r="504" customFormat="false" ht="15" hidden="false" customHeight="false" outlineLevel="0" collapsed="false">
      <c r="A504" s="5" t="s">
        <v>797</v>
      </c>
      <c r="B504" s="2" t="s">
        <v>586</v>
      </c>
      <c r="C504" s="5" t="s">
        <v>642</v>
      </c>
      <c r="D504" s="11" t="n">
        <v>0.25</v>
      </c>
      <c r="E504" s="11" t="n">
        <v>-0.634370728954411</v>
      </c>
      <c r="F504" s="11" t="n">
        <v>-0.634370728954411</v>
      </c>
      <c r="G504" s="11" t="n">
        <v>0.908592682238603</v>
      </c>
      <c r="H504" s="11" t="n">
        <v>0</v>
      </c>
      <c r="I504" s="11" t="n">
        <v>-0.7156840685586</v>
      </c>
      <c r="J504" s="15" t="n">
        <v>1.39846954966867</v>
      </c>
    </row>
    <row r="505" customFormat="false" ht="15" hidden="false" customHeight="false" outlineLevel="0" collapsed="false">
      <c r="A505" s="5" t="s">
        <v>797</v>
      </c>
      <c r="B505" s="2" t="s">
        <v>586</v>
      </c>
      <c r="C505" s="5" t="s">
        <v>642</v>
      </c>
      <c r="D505" s="11" t="n">
        <v>0.1</v>
      </c>
      <c r="E505" s="11" t="n">
        <v>-0.784476364415279</v>
      </c>
      <c r="F505" s="11" t="n">
        <v>-0.784476364415279</v>
      </c>
      <c r="G505" s="11" t="n">
        <v>0.978447636441528</v>
      </c>
      <c r="H505" s="11" t="n">
        <v>0</v>
      </c>
      <c r="I505" s="11" t="n">
        <v>-0.853151798992376</v>
      </c>
      <c r="J505" s="15" t="n">
        <v>1.66789368826816</v>
      </c>
    </row>
    <row r="506" customFormat="false" ht="15" hidden="false" customHeight="false" outlineLevel="0" collapsed="false">
      <c r="A506" s="5" t="s">
        <v>797</v>
      </c>
      <c r="B506" s="2" t="s">
        <v>586</v>
      </c>
      <c r="C506" s="5" t="s">
        <v>645</v>
      </c>
      <c r="D506" s="11" t="n">
        <v>0.9</v>
      </c>
      <c r="E506" s="11" t="n">
        <v>-0.986943435529529</v>
      </c>
      <c r="F506" s="11" t="n">
        <v>-0.986943435529529</v>
      </c>
      <c r="G506" s="11" t="n">
        <v>0.988249091976576</v>
      </c>
      <c r="H506" s="11" t="n">
        <v>0</v>
      </c>
      <c r="I506" s="11" t="n">
        <v>0</v>
      </c>
      <c r="J506" s="15" t="n">
        <v>4.24675324675325</v>
      </c>
    </row>
    <row r="507" customFormat="false" ht="15" hidden="false" customHeight="false" outlineLevel="0" collapsed="false">
      <c r="A507" s="5" t="s">
        <v>797</v>
      </c>
      <c r="B507" s="2" t="s">
        <v>586</v>
      </c>
      <c r="C507" s="5" t="s">
        <v>645</v>
      </c>
      <c r="D507" s="11" t="n">
        <v>0.75</v>
      </c>
      <c r="E507" s="11" t="n">
        <v>-0.998680343688704</v>
      </c>
      <c r="F507" s="11" t="n">
        <v>-0.998680343688704</v>
      </c>
      <c r="G507" s="11" t="n">
        <v>0.999010257766528</v>
      </c>
      <c r="H507" s="11" t="n">
        <v>0</v>
      </c>
      <c r="I507" s="11" t="n">
        <v>0</v>
      </c>
      <c r="J507" s="15" t="n">
        <v>9.11688311688312</v>
      </c>
    </row>
    <row r="508" customFormat="false" ht="15" hidden="false" customHeight="false" outlineLevel="0" collapsed="false">
      <c r="A508" s="5" t="s">
        <v>797</v>
      </c>
      <c r="B508" s="2" t="s">
        <v>586</v>
      </c>
      <c r="C508" s="5" t="s">
        <v>645</v>
      </c>
      <c r="D508" s="11" t="n">
        <v>0.5</v>
      </c>
      <c r="E508" s="11" t="n">
        <v>-0.99980462931153</v>
      </c>
      <c r="F508" s="11" t="n">
        <v>-0.99980462931153</v>
      </c>
      <c r="G508" s="11" t="n">
        <v>0.999902314655765</v>
      </c>
      <c r="H508" s="11" t="n">
        <v>0</v>
      </c>
      <c r="I508" s="11" t="n">
        <v>4.44089209850063E-016</v>
      </c>
      <c r="J508" s="15" t="n">
        <v>17.2337662337663</v>
      </c>
    </row>
    <row r="509" customFormat="false" ht="15" hidden="false" customHeight="false" outlineLevel="0" collapsed="false">
      <c r="A509" s="5" t="s">
        <v>797</v>
      </c>
      <c r="B509" s="2" t="s">
        <v>586</v>
      </c>
      <c r="C509" s="5" t="s">
        <v>645</v>
      </c>
      <c r="D509" s="11" t="n">
        <v>0.25</v>
      </c>
      <c r="E509" s="11" t="n">
        <v>-0.999938619172996</v>
      </c>
      <c r="F509" s="11" t="n">
        <v>-0.999938619172996</v>
      </c>
      <c r="G509" s="11" t="n">
        <v>0.999984654793249</v>
      </c>
      <c r="H509" s="11" t="n">
        <v>0</v>
      </c>
      <c r="I509" s="11" t="n">
        <v>6.66133814775094E-016</v>
      </c>
      <c r="J509" s="15" t="n">
        <v>25.3506493506494</v>
      </c>
    </row>
    <row r="510" customFormat="false" ht="15" hidden="false" customHeight="false" outlineLevel="0" collapsed="false">
      <c r="A510" s="5" t="s">
        <v>797</v>
      </c>
      <c r="B510" s="2" t="s">
        <v>586</v>
      </c>
      <c r="C510" s="5" t="s">
        <v>645</v>
      </c>
      <c r="D510" s="11" t="n">
        <v>0.1</v>
      </c>
      <c r="E510" s="11" t="n">
        <v>-0.999963768774365</v>
      </c>
      <c r="F510" s="11" t="n">
        <v>-0.999963768774365</v>
      </c>
      <c r="G510" s="11" t="n">
        <v>0.999996376877437</v>
      </c>
      <c r="H510" s="11" t="n">
        <v>0</v>
      </c>
      <c r="I510" s="11" t="n">
        <v>-4.44089209850063E-016</v>
      </c>
      <c r="J510" s="15" t="n">
        <v>30.2207792207792</v>
      </c>
    </row>
    <row r="511" customFormat="false" ht="15" hidden="false" customHeight="false" outlineLevel="0" collapsed="false">
      <c r="A511" s="5" t="s">
        <v>797</v>
      </c>
      <c r="B511" s="2" t="s">
        <v>589</v>
      </c>
      <c r="C511" s="5" t="s">
        <v>642</v>
      </c>
      <c r="D511" s="11" t="n">
        <v>0.9</v>
      </c>
      <c r="E511" s="11" t="n">
        <v>-0.00134519535101374</v>
      </c>
      <c r="F511" s="11" t="n">
        <v>-0.00134519535101374</v>
      </c>
      <c r="G511" s="11" t="n">
        <v>0.271980647410889</v>
      </c>
      <c r="H511" s="11" t="n">
        <v>0</v>
      </c>
      <c r="I511" s="11" t="n">
        <v>-0.00168121135135435</v>
      </c>
      <c r="J511" s="15" t="n">
        <v>1.00134700733902</v>
      </c>
    </row>
    <row r="512" customFormat="false" ht="15" hidden="false" customHeight="false" outlineLevel="0" collapsed="false">
      <c r="A512" s="5" t="s">
        <v>797</v>
      </c>
      <c r="B512" s="2" t="s">
        <v>589</v>
      </c>
      <c r="C512" s="5" t="s">
        <v>642</v>
      </c>
      <c r="D512" s="11" t="n">
        <v>0.75</v>
      </c>
      <c r="E512" s="11" t="n">
        <v>-0.00336049351161649</v>
      </c>
      <c r="F512" s="11" t="n">
        <v>-0.00336049351161649</v>
      </c>
      <c r="G512" s="11" t="n">
        <v>0.579542708200213</v>
      </c>
      <c r="H512" s="11" t="n">
        <v>0</v>
      </c>
      <c r="I512" s="11" t="n">
        <v>-0.00419885088669847</v>
      </c>
      <c r="J512" s="15" t="n">
        <v>1.00337182450599</v>
      </c>
    </row>
    <row r="513" customFormat="false" ht="15" hidden="false" customHeight="false" outlineLevel="0" collapsed="false">
      <c r="A513" s="5" t="s">
        <v>797</v>
      </c>
      <c r="B513" s="2" t="s">
        <v>589</v>
      </c>
      <c r="C513" s="5" t="s">
        <v>642</v>
      </c>
      <c r="D513" s="11" t="n">
        <v>0.5</v>
      </c>
      <c r="E513" s="11" t="n">
        <v>-0.00671265257804365</v>
      </c>
      <c r="F513" s="11" t="n">
        <v>-0.00671265257804365</v>
      </c>
      <c r="G513" s="11" t="n">
        <v>0.875839081572255</v>
      </c>
      <c r="H513" s="11" t="n">
        <v>0</v>
      </c>
      <c r="I513" s="11" t="n">
        <v>-0.0083837632936381</v>
      </c>
      <c r="J513" s="15" t="n">
        <v>1.00675801679692</v>
      </c>
    </row>
    <row r="514" customFormat="false" ht="15" hidden="false" customHeight="false" outlineLevel="0" collapsed="false">
      <c r="A514" s="5" t="s">
        <v>797</v>
      </c>
      <c r="B514" s="2" t="s">
        <v>589</v>
      </c>
      <c r="C514" s="5" t="s">
        <v>642</v>
      </c>
      <c r="D514" s="11" t="n">
        <v>0.3</v>
      </c>
      <c r="E514" s="11" t="n">
        <v>-0.00938835618481271</v>
      </c>
      <c r="F514" s="11" t="n">
        <v>-0.00938835618481271</v>
      </c>
      <c r="G514" s="11" t="n">
        <v>0.97325348561699</v>
      </c>
      <c r="H514" s="11" t="n">
        <v>0</v>
      </c>
      <c r="I514" s="11" t="n">
        <v>-0.0117216407058113</v>
      </c>
      <c r="J514" s="15" t="n">
        <v>1.00947733276045</v>
      </c>
    </row>
    <row r="515" customFormat="false" ht="15" hidden="false" customHeight="false" outlineLevel="0" collapsed="false">
      <c r="A515" s="5" t="s">
        <v>797</v>
      </c>
      <c r="B515" s="2" t="s">
        <v>589</v>
      </c>
      <c r="C515" s="5" t="s">
        <v>645</v>
      </c>
      <c r="D515" s="11" t="n">
        <v>0.9</v>
      </c>
      <c r="E515" s="11" t="n">
        <v>-0.0030705427283968</v>
      </c>
      <c r="F515" s="11" t="n">
        <v>-0.0030705427283968</v>
      </c>
      <c r="G515" s="11" t="n">
        <v>0.273238425649001</v>
      </c>
      <c r="H515" s="11" t="n">
        <v>0</v>
      </c>
      <c r="I515" s="11" t="n">
        <v>0</v>
      </c>
      <c r="J515" s="15" t="n">
        <v>1.00308</v>
      </c>
    </row>
    <row r="516" customFormat="false" ht="15" hidden="false" customHeight="false" outlineLevel="0" collapsed="false">
      <c r="A516" s="5" t="s">
        <v>797</v>
      </c>
      <c r="B516" s="2" t="s">
        <v>589</v>
      </c>
      <c r="C516" s="5" t="s">
        <v>645</v>
      </c>
      <c r="D516" s="11" t="n">
        <v>0.75</v>
      </c>
      <c r="E516" s="11" t="n">
        <v>-0.00764116304455698</v>
      </c>
      <c r="F516" s="11" t="n">
        <v>-0.00764116304455698</v>
      </c>
      <c r="G516" s="11" t="n">
        <v>0.581348615659422</v>
      </c>
      <c r="H516" s="11" t="n">
        <v>0</v>
      </c>
      <c r="I516" s="11" t="n">
        <v>0</v>
      </c>
      <c r="J516" s="15" t="n">
        <v>1.0077</v>
      </c>
    </row>
    <row r="517" customFormat="false" ht="15" hidden="false" customHeight="false" outlineLevel="0" collapsed="false">
      <c r="A517" s="5" t="s">
        <v>797</v>
      </c>
      <c r="B517" s="2" t="s">
        <v>589</v>
      </c>
      <c r="C517" s="5" t="s">
        <v>645</v>
      </c>
      <c r="D517" s="11" t="n">
        <v>0.5</v>
      </c>
      <c r="E517" s="11" t="n">
        <v>-0.0151664368721689</v>
      </c>
      <c r="F517" s="11" t="n">
        <v>-0.0151664368721689</v>
      </c>
      <c r="G517" s="11" t="n">
        <v>0.876895804609021</v>
      </c>
      <c r="H517" s="11" t="n">
        <v>0</v>
      </c>
      <c r="I517" s="11" t="n">
        <v>2.22044604925031E-016</v>
      </c>
      <c r="J517" s="15" t="n">
        <v>1.0154</v>
      </c>
    </row>
    <row r="518" customFormat="false" ht="15" hidden="false" customHeight="false" outlineLevel="0" collapsed="false">
      <c r="A518" s="5" t="s">
        <v>797</v>
      </c>
      <c r="B518" s="2" t="s">
        <v>589</v>
      </c>
      <c r="C518" s="5" t="s">
        <v>645</v>
      </c>
      <c r="D518" s="11" t="n">
        <v>0.3</v>
      </c>
      <c r="E518" s="11" t="n">
        <v>-0.0211049767022986</v>
      </c>
      <c r="F518" s="11" t="n">
        <v>-0.0211049767022986</v>
      </c>
      <c r="G518" s="11" t="n">
        <v>0.973569834370962</v>
      </c>
      <c r="H518" s="11" t="n">
        <v>0</v>
      </c>
      <c r="I518" s="11" t="n">
        <v>2.22044604925031E-016</v>
      </c>
      <c r="J518" s="15" t="n">
        <v>1.02156</v>
      </c>
    </row>
    <row r="519" customFormat="false" ht="35.05" hidden="false" customHeight="false" outlineLevel="0" collapsed="false">
      <c r="A519" s="5" t="s">
        <v>797</v>
      </c>
      <c r="B519" s="2" t="s">
        <v>707</v>
      </c>
      <c r="C519" s="5" t="s">
        <v>642</v>
      </c>
      <c r="D519" s="11" t="n">
        <v>0.9</v>
      </c>
      <c r="E519" s="11" t="n">
        <v>-0.0808338811598784</v>
      </c>
      <c r="F519" s="11" t="n">
        <v>-0.0808338811598784</v>
      </c>
      <c r="I519" s="11" t="n">
        <v>-0.1</v>
      </c>
      <c r="L519" s="2" t="s">
        <v>708</v>
      </c>
    </row>
    <row r="520" customFormat="false" ht="35.05" hidden="false" customHeight="false" outlineLevel="0" collapsed="false">
      <c r="A520" s="5" t="s">
        <v>797</v>
      </c>
      <c r="B520" s="2" t="s">
        <v>707</v>
      </c>
      <c r="C520" s="5" t="s">
        <v>642</v>
      </c>
      <c r="D520" s="11" t="n">
        <v>0.75</v>
      </c>
      <c r="E520" s="11" t="n">
        <v>-0.205582119213391</v>
      </c>
      <c r="F520" s="11" t="n">
        <v>-0.205582119213391</v>
      </c>
      <c r="I520" s="11" t="n">
        <v>-0.25</v>
      </c>
      <c r="L520" s="2" t="s">
        <v>708</v>
      </c>
    </row>
    <row r="521" customFormat="false" ht="35.05" hidden="false" customHeight="false" outlineLevel="0" collapsed="false">
      <c r="A521" s="5" t="s">
        <v>797</v>
      </c>
      <c r="B521" s="2" t="s">
        <v>707</v>
      </c>
      <c r="C521" s="5" t="s">
        <v>642</v>
      </c>
      <c r="D521" s="11" t="n">
        <v>0.5</v>
      </c>
      <c r="E521" s="11" t="n">
        <v>-0.425650822501483</v>
      </c>
      <c r="F521" s="11" t="n">
        <v>-0.425650822501483</v>
      </c>
      <c r="I521" s="11" t="n">
        <v>-0.5</v>
      </c>
      <c r="L521" s="2" t="s">
        <v>708</v>
      </c>
    </row>
    <row r="522" customFormat="false" ht="35.05" hidden="false" customHeight="false" outlineLevel="0" collapsed="false">
      <c r="A522" s="5" t="s">
        <v>797</v>
      </c>
      <c r="B522" s="2" t="s">
        <v>707</v>
      </c>
      <c r="C522" s="5" t="s">
        <v>642</v>
      </c>
      <c r="D522" s="11" t="n">
        <v>0.25</v>
      </c>
      <c r="E522" s="11" t="n">
        <v>-0.670123022306777</v>
      </c>
      <c r="F522" s="11" t="n">
        <v>-0.670123022306777</v>
      </c>
      <c r="I522" s="11" t="n">
        <v>-0.75</v>
      </c>
      <c r="L522" s="2" t="s">
        <v>708</v>
      </c>
    </row>
    <row r="523" customFormat="false" ht="35.05" hidden="false" customHeight="false" outlineLevel="0" collapsed="false">
      <c r="A523" s="5" t="s">
        <v>797</v>
      </c>
      <c r="B523" s="2" t="s">
        <v>707</v>
      </c>
      <c r="C523" s="5" t="s">
        <v>642</v>
      </c>
      <c r="D523" s="11" t="n">
        <v>0.1</v>
      </c>
      <c r="E523" s="11" t="n">
        <v>-0.841510680753889</v>
      </c>
      <c r="F523" s="11" t="n">
        <v>-0.841510680753889</v>
      </c>
      <c r="I523" s="11" t="n">
        <v>-0.9</v>
      </c>
      <c r="L523" s="2" t="s">
        <v>708</v>
      </c>
    </row>
    <row r="524" customFormat="false" ht="35.05" hidden="false" customHeight="false" outlineLevel="0" collapsed="false">
      <c r="A524" s="5" t="s">
        <v>797</v>
      </c>
      <c r="B524" s="2" t="s">
        <v>707</v>
      </c>
      <c r="C524" s="5" t="s">
        <v>645</v>
      </c>
      <c r="D524" s="11" t="n">
        <v>0.9</v>
      </c>
      <c r="E524" s="11" t="n">
        <v>-1</v>
      </c>
      <c r="F524" s="11" t="n">
        <v>-1</v>
      </c>
      <c r="I524" s="11" t="n">
        <v>-0.1</v>
      </c>
      <c r="L524" s="2" t="s">
        <v>708</v>
      </c>
    </row>
    <row r="525" customFormat="false" ht="35.05" hidden="false" customHeight="false" outlineLevel="0" collapsed="false">
      <c r="A525" s="5" t="s">
        <v>797</v>
      </c>
      <c r="B525" s="2" t="s">
        <v>707</v>
      </c>
      <c r="C525" s="5" t="s">
        <v>645</v>
      </c>
      <c r="D525" s="11" t="n">
        <v>0.75</v>
      </c>
      <c r="E525" s="11" t="n">
        <v>-1</v>
      </c>
      <c r="F525" s="11" t="n">
        <v>-1</v>
      </c>
      <c r="I525" s="11" t="n">
        <v>-0.25</v>
      </c>
      <c r="L525" s="2" t="s">
        <v>708</v>
      </c>
    </row>
    <row r="526" customFormat="false" ht="35.05" hidden="false" customHeight="false" outlineLevel="0" collapsed="false">
      <c r="A526" s="5" t="s">
        <v>797</v>
      </c>
      <c r="B526" s="2" t="s">
        <v>707</v>
      </c>
      <c r="C526" s="5" t="s">
        <v>645</v>
      </c>
      <c r="D526" s="11" t="n">
        <v>0.5</v>
      </c>
      <c r="E526" s="11" t="n">
        <v>-1</v>
      </c>
      <c r="F526" s="11" t="n">
        <v>-1</v>
      </c>
      <c r="I526" s="11" t="n">
        <v>-0.5</v>
      </c>
      <c r="L526" s="2" t="s">
        <v>708</v>
      </c>
    </row>
    <row r="527" customFormat="false" ht="35.05" hidden="false" customHeight="false" outlineLevel="0" collapsed="false">
      <c r="A527" s="5" t="s">
        <v>797</v>
      </c>
      <c r="B527" s="2" t="s">
        <v>707</v>
      </c>
      <c r="C527" s="5" t="s">
        <v>645</v>
      </c>
      <c r="D527" s="11" t="n">
        <v>0.25</v>
      </c>
      <c r="E527" s="11" t="n">
        <v>-1</v>
      </c>
      <c r="F527" s="11" t="n">
        <v>-1</v>
      </c>
      <c r="I527" s="11" t="n">
        <v>-0.75</v>
      </c>
      <c r="L527" s="2" t="s">
        <v>708</v>
      </c>
    </row>
    <row r="528" customFormat="false" ht="35.05" hidden="false" customHeight="false" outlineLevel="0" collapsed="false">
      <c r="A528" s="5" t="s">
        <v>797</v>
      </c>
      <c r="B528" s="2" t="s">
        <v>707</v>
      </c>
      <c r="C528" s="5" t="s">
        <v>645</v>
      </c>
      <c r="D528" s="11" t="n">
        <v>0.1</v>
      </c>
      <c r="E528" s="11" t="n">
        <v>-1</v>
      </c>
      <c r="F528" s="11" t="n">
        <v>-1</v>
      </c>
      <c r="I528" s="11" t="n">
        <v>-0.9</v>
      </c>
      <c r="L528" s="2" t="s">
        <v>708</v>
      </c>
    </row>
    <row r="531" customFormat="false" ht="15" hidden="false" customHeight="false" outlineLevel="0" collapsed="false">
      <c r="A531" s="14" t="s">
        <v>798</v>
      </c>
    </row>
    <row r="532" customFormat="false" ht="52.2" hidden="false" customHeight="false" outlineLevel="0" collapsed="false">
      <c r="A532" s="6" t="s">
        <v>25</v>
      </c>
      <c r="B532" s="6" t="s">
        <v>630</v>
      </c>
      <c r="C532" s="6" t="s">
        <v>799</v>
      </c>
      <c r="D532" s="6" t="s">
        <v>800</v>
      </c>
      <c r="E532" s="6" t="s">
        <v>801</v>
      </c>
      <c r="F532" s="6" t="s">
        <v>802</v>
      </c>
      <c r="G532" s="6" t="s">
        <v>803</v>
      </c>
      <c r="H532" s="6" t="s">
        <v>804</v>
      </c>
      <c r="I532" s="6" t="s">
        <v>805</v>
      </c>
    </row>
    <row r="533" customFormat="false" ht="15" hidden="false" customHeight="false" outlineLevel="0" collapsed="false">
      <c r="A533" s="5" t="s">
        <v>641</v>
      </c>
      <c r="B533" s="2" t="s">
        <v>217</v>
      </c>
      <c r="C533" s="11" t="n">
        <v>1E-006</v>
      </c>
      <c r="D533" s="11" t="n">
        <v>-0.026634161447336</v>
      </c>
      <c r="E533" s="11" t="n">
        <v>-0.100471759519657</v>
      </c>
      <c r="F533" s="11" t="n">
        <v>-0.174155328368233</v>
      </c>
      <c r="G533" s="11" t="n">
        <v>-0.999999994736842</v>
      </c>
      <c r="H533" s="15" t="n">
        <v>1.19300426391158</v>
      </c>
      <c r="I533" s="5" t="s">
        <v>251</v>
      </c>
    </row>
    <row r="534" customFormat="false" ht="15" hidden="false" customHeight="false" outlineLevel="0" collapsed="false">
      <c r="A534" s="5" t="s">
        <v>641</v>
      </c>
      <c r="B534" s="2" t="s">
        <v>221</v>
      </c>
      <c r="C534" s="11" t="n">
        <v>1E-006</v>
      </c>
      <c r="D534" s="11" t="n">
        <v>-0.011940456746061</v>
      </c>
      <c r="E534" s="11" t="n">
        <v>-0.0438277164075245</v>
      </c>
      <c r="F534" s="11" t="n">
        <v>-0.0741926102609474</v>
      </c>
      <c r="G534" s="11" t="n">
        <v>-0.9999999875</v>
      </c>
      <c r="H534" s="15" t="n">
        <v>1.077555750227</v>
      </c>
      <c r="I534" s="5" t="s">
        <v>251</v>
      </c>
    </row>
    <row r="535" customFormat="false" ht="15" hidden="false" customHeight="false" outlineLevel="0" collapsed="false">
      <c r="A535" s="5" t="s">
        <v>641</v>
      </c>
      <c r="B535" s="2" t="s">
        <v>225</v>
      </c>
      <c r="C535" s="11" t="n">
        <v>1E-006</v>
      </c>
      <c r="D535" s="11" t="n">
        <v>-0.00502959232866385</v>
      </c>
      <c r="E535" s="11" t="n">
        <v>-0.0189065055695179</v>
      </c>
      <c r="F535" s="11" t="n">
        <v>-0.0328154677342911</v>
      </c>
      <c r="G535" s="11" t="n">
        <v>-0.254140460642835</v>
      </c>
      <c r="H535" s="15" t="n">
        <v>1.34073501407768</v>
      </c>
      <c r="I535" s="5" t="s">
        <v>229</v>
      </c>
    </row>
    <row r="536" customFormat="false" ht="15" hidden="false" customHeight="false" outlineLevel="0" collapsed="false">
      <c r="A536" s="5" t="s">
        <v>641</v>
      </c>
      <c r="B536" s="2" t="s">
        <v>229</v>
      </c>
      <c r="C536" s="11" t="n">
        <v>0.6</v>
      </c>
      <c r="D536" s="11" t="n">
        <v>-0.006490613568781</v>
      </c>
      <c r="E536" s="11" t="n">
        <v>-0.0244434699009197</v>
      </c>
      <c r="F536" s="11" t="n">
        <v>-0.0424340948400395</v>
      </c>
      <c r="G536" s="11" t="n">
        <v>-0.329557956723931</v>
      </c>
      <c r="H536" s="15" t="n">
        <v>1.94714337661313</v>
      </c>
      <c r="I536" s="5" t="s">
        <v>225</v>
      </c>
    </row>
    <row r="537" customFormat="false" ht="15" hidden="false" customHeight="false" outlineLevel="0" collapsed="false">
      <c r="A537" s="5" t="s">
        <v>641</v>
      </c>
      <c r="B537" s="2" t="s">
        <v>232</v>
      </c>
      <c r="C537" s="11" t="n">
        <v>1E-006</v>
      </c>
      <c r="D537" s="11" t="n">
        <v>-0.068865372899646</v>
      </c>
      <c r="E537" s="11" t="n">
        <v>-0.2791440914635</v>
      </c>
      <c r="F537" s="11" t="n">
        <v>-0.465195809402851</v>
      </c>
      <c r="G537" s="11" t="n">
        <v>-0.714516953351384</v>
      </c>
      <c r="H537" s="15" t="n">
        <v>2.30646278398692</v>
      </c>
      <c r="I537" s="5" t="s">
        <v>236</v>
      </c>
    </row>
    <row r="538" customFormat="false" ht="15" hidden="false" customHeight="false" outlineLevel="0" collapsed="false">
      <c r="A538" s="5" t="s">
        <v>641</v>
      </c>
      <c r="B538" s="2" t="s">
        <v>236</v>
      </c>
      <c r="C538" s="11" t="n">
        <v>0.06</v>
      </c>
      <c r="D538" s="11" t="n">
        <v>-0.0121618102753063</v>
      </c>
      <c r="E538" s="11" t="n">
        <v>-0.0437097154265798</v>
      </c>
      <c r="F538" s="11" t="n">
        <v>-0.0726152609430844</v>
      </c>
      <c r="G538" s="11" t="n">
        <v>-0.0991696928587862</v>
      </c>
      <c r="H538" s="15" t="n">
        <v>1.20911411975174</v>
      </c>
      <c r="I538" s="5" t="s">
        <v>232</v>
      </c>
    </row>
    <row r="539" customFormat="false" ht="15" hidden="false" customHeight="false" outlineLevel="0" collapsed="false">
      <c r="A539" s="5" t="s">
        <v>641</v>
      </c>
      <c r="B539" s="2" t="s">
        <v>240</v>
      </c>
      <c r="C539" s="11" t="n">
        <v>0.5</v>
      </c>
      <c r="D539" s="11" t="n">
        <v>-0.00152245320204214</v>
      </c>
      <c r="E539" s="11" t="n">
        <v>-0.0056989501356548</v>
      </c>
      <c r="F539" s="11" t="n">
        <v>-0.00985738966371574</v>
      </c>
      <c r="G539" s="11" t="n">
        <v>-0.012767855611218</v>
      </c>
      <c r="H539" s="15" t="n">
        <v>1.02363882546075</v>
      </c>
      <c r="I539" s="5" t="s">
        <v>232</v>
      </c>
    </row>
    <row r="540" customFormat="false" ht="15" hidden="false" customHeight="false" outlineLevel="0" collapsed="false">
      <c r="A540" s="5" t="s">
        <v>641</v>
      </c>
      <c r="B540" s="2" t="s">
        <v>247</v>
      </c>
      <c r="C540" s="11" t="n">
        <v>0.15</v>
      </c>
      <c r="D540" s="11" t="n">
        <v>-0.004116516906429</v>
      </c>
      <c r="E540" s="11" t="n">
        <v>-0.0153737419981339</v>
      </c>
      <c r="F540" s="11" t="n">
        <v>-0.0265149580977588</v>
      </c>
      <c r="G540" s="11" t="n">
        <v>-0.0153737419981339</v>
      </c>
      <c r="H540" s="15" t="n">
        <v>1.03362693326224</v>
      </c>
      <c r="I540" s="5" t="s">
        <v>225</v>
      </c>
    </row>
    <row r="541" customFormat="false" ht="15" hidden="false" customHeight="false" outlineLevel="0" collapsed="false">
      <c r="A541" s="5" t="s">
        <v>641</v>
      </c>
      <c r="B541" s="2" t="s">
        <v>251</v>
      </c>
      <c r="C541" s="11" t="n">
        <v>0.05</v>
      </c>
      <c r="D541" s="11" t="n">
        <v>-0.00305572136822518</v>
      </c>
      <c r="E541" s="11" t="n">
        <v>-0.0114602314997709</v>
      </c>
      <c r="F541" s="11" t="n">
        <v>-0.019853569406006</v>
      </c>
      <c r="G541" s="11" t="n">
        <v>-0.0114602314997709</v>
      </c>
      <c r="H541" s="15" t="n">
        <v>1.02490679171544</v>
      </c>
      <c r="I541" s="5" t="s">
        <v>225</v>
      </c>
    </row>
    <row r="542" customFormat="false" ht="15" hidden="false" customHeight="false" outlineLevel="0" collapsed="false">
      <c r="A542" s="5" t="s">
        <v>709</v>
      </c>
      <c r="B542" s="2" t="s">
        <v>217</v>
      </c>
      <c r="C542" s="11" t="n">
        <v>1E-006</v>
      </c>
      <c r="D542" s="11" t="n">
        <v>-0.0299195429806169</v>
      </c>
      <c r="E542" s="11" t="n">
        <v>-0.107208023205444</v>
      </c>
      <c r="F542" s="11" t="n">
        <v>-0.177266966788301</v>
      </c>
      <c r="G542" s="11" t="n">
        <v>-0.999999994736842</v>
      </c>
      <c r="H542" s="15" t="n">
        <v>1.20804432284275</v>
      </c>
      <c r="I542" s="5" t="s">
        <v>251</v>
      </c>
    </row>
    <row r="543" customFormat="false" ht="15" hidden="false" customHeight="false" outlineLevel="0" collapsed="false">
      <c r="A543" s="5" t="s">
        <v>709</v>
      </c>
      <c r="B543" s="2" t="s">
        <v>221</v>
      </c>
      <c r="C543" s="11" t="n">
        <v>1E-006</v>
      </c>
      <c r="D543" s="11" t="n">
        <v>-0.0133571469037801</v>
      </c>
      <c r="E543" s="11" t="n">
        <v>-0.0465780389421822</v>
      </c>
      <c r="F543" s="11" t="n">
        <v>-0.0753431620149438</v>
      </c>
      <c r="G543" s="11" t="n">
        <v>-0.9999999875</v>
      </c>
      <c r="H543" s="15" t="n">
        <v>1.08274141264511</v>
      </c>
      <c r="I543" s="5" t="s">
        <v>251</v>
      </c>
    </row>
    <row r="544" customFormat="false" ht="15" hidden="false" customHeight="false" outlineLevel="0" collapsed="false">
      <c r="A544" s="5" t="s">
        <v>709</v>
      </c>
      <c r="B544" s="2" t="s">
        <v>225</v>
      </c>
      <c r="C544" s="11" t="n">
        <v>1E-006</v>
      </c>
      <c r="D544" s="11" t="n">
        <v>-0.009722957830542</v>
      </c>
      <c r="E544" s="11" t="n">
        <v>-0.034828106865286</v>
      </c>
      <c r="F544" s="11" t="n">
        <v>-0.0577132973765702</v>
      </c>
      <c r="G544" s="11" t="n">
        <v>-0.447772219537527</v>
      </c>
      <c r="H544" s="15" t="n">
        <v>1.81084696456693</v>
      </c>
      <c r="I544" s="5" t="s">
        <v>229</v>
      </c>
    </row>
    <row r="545" customFormat="false" ht="15" hidden="false" customHeight="false" outlineLevel="0" collapsed="false">
      <c r="A545" s="5" t="s">
        <v>709</v>
      </c>
      <c r="B545" s="2" t="s">
        <v>229</v>
      </c>
      <c r="C545" s="11" t="n">
        <v>0.6</v>
      </c>
      <c r="D545" s="11" t="n">
        <v>-0.00402024673517221</v>
      </c>
      <c r="E545" s="11" t="n">
        <v>-0.0145151753371895</v>
      </c>
      <c r="F545" s="11" t="n">
        <v>-0.0242356496895841</v>
      </c>
      <c r="G545" s="11" t="n">
        <v>-0.184889919972573</v>
      </c>
      <c r="H545" s="15" t="n">
        <v>1.40595976861361</v>
      </c>
      <c r="I545" s="5" t="s">
        <v>225</v>
      </c>
    </row>
    <row r="546" customFormat="false" ht="15" hidden="false" customHeight="false" outlineLevel="0" collapsed="false">
      <c r="A546" s="5" t="s">
        <v>709</v>
      </c>
      <c r="B546" s="2" t="s">
        <v>232</v>
      </c>
      <c r="C546" s="11" t="n">
        <v>1E-006</v>
      </c>
      <c r="D546" s="11" t="n">
        <v>-0.0930643191454514</v>
      </c>
      <c r="E546" s="11" t="n">
        <v>-0.358257707155434</v>
      </c>
      <c r="F546" s="11" t="n">
        <v>-0.541881801528892</v>
      </c>
      <c r="G546" s="11" t="n">
        <v>-0.949811043488294</v>
      </c>
      <c r="H546" s="15" t="n">
        <v>7.34955801592058</v>
      </c>
      <c r="I546" s="5" t="s">
        <v>236</v>
      </c>
    </row>
    <row r="547" customFormat="false" ht="15" hidden="false" customHeight="false" outlineLevel="0" collapsed="false">
      <c r="A547" s="5" t="s">
        <v>709</v>
      </c>
      <c r="B547" s="2" t="s">
        <v>236</v>
      </c>
      <c r="C547" s="11" t="n">
        <v>0.06</v>
      </c>
      <c r="D547" s="11" t="n">
        <v>-0.00294423380839981</v>
      </c>
      <c r="E547" s="11" t="n">
        <v>-0.010493973778519</v>
      </c>
      <c r="F547" s="11" t="n">
        <v>-0.0173264942550193</v>
      </c>
      <c r="G547" s="11" t="n">
        <v>-0.0231780131330486</v>
      </c>
      <c r="H547" s="15" t="n">
        <v>1.04355995784983</v>
      </c>
      <c r="I547" s="5" t="s">
        <v>232</v>
      </c>
    </row>
    <row r="548" customFormat="false" ht="15" hidden="false" customHeight="false" outlineLevel="0" collapsed="false">
      <c r="A548" s="5" t="s">
        <v>709</v>
      </c>
      <c r="B548" s="2" t="s">
        <v>240</v>
      </c>
      <c r="C548" s="11" t="n">
        <v>0.5</v>
      </c>
      <c r="D548" s="11" t="n">
        <v>-0.000564458557769987</v>
      </c>
      <c r="E548" s="11" t="n">
        <v>-0.00203059821866902</v>
      </c>
      <c r="F548" s="11" t="n">
        <v>-0.00338190156425422</v>
      </c>
      <c r="G548" s="11" t="n">
        <v>-0.00447407157048885</v>
      </c>
      <c r="H548" s="15" t="n">
        <v>1.00818625322381</v>
      </c>
      <c r="I548" s="5" t="s">
        <v>232</v>
      </c>
    </row>
    <row r="549" customFormat="false" ht="15" hidden="false" customHeight="false" outlineLevel="0" collapsed="false">
      <c r="A549" s="5" t="s">
        <v>709</v>
      </c>
      <c r="B549" s="2" t="s">
        <v>247</v>
      </c>
      <c r="C549" s="11" t="n">
        <v>0.15</v>
      </c>
      <c r="D549" s="11" t="n">
        <v>-0.00362735563255678</v>
      </c>
      <c r="E549" s="11" t="n">
        <v>-0.0129806479513037</v>
      </c>
      <c r="F549" s="11" t="n">
        <v>-0.0215072014028164</v>
      </c>
      <c r="G549" s="11" t="n">
        <v>-0.0129806479513037</v>
      </c>
      <c r="H549" s="15" t="n">
        <v>1.0282291468225</v>
      </c>
      <c r="I549" s="5" t="s">
        <v>225</v>
      </c>
    </row>
    <row r="550" customFormat="false" ht="15" hidden="false" customHeight="false" outlineLevel="0" collapsed="false">
      <c r="A550" s="5" t="s">
        <v>709</v>
      </c>
      <c r="B550" s="2" t="s">
        <v>251</v>
      </c>
      <c r="C550" s="11" t="n">
        <v>0.05</v>
      </c>
      <c r="D550" s="11" t="n">
        <v>-0.00269401516490264</v>
      </c>
      <c r="E550" s="11" t="n">
        <v>-0.0096775228177286</v>
      </c>
      <c r="F550" s="11" t="n">
        <v>-0.0160923782191469</v>
      </c>
      <c r="G550" s="11" t="n">
        <v>-0.0096775228177286</v>
      </c>
      <c r="H550" s="15" t="n">
        <v>1.02093593501126</v>
      </c>
      <c r="I550" s="5" t="s">
        <v>225</v>
      </c>
    </row>
    <row r="551" customFormat="false" ht="15" hidden="false" customHeight="false" outlineLevel="0" collapsed="false">
      <c r="A551" s="5" t="s">
        <v>753</v>
      </c>
      <c r="B551" s="2" t="s">
        <v>352</v>
      </c>
      <c r="C551" s="11" t="n">
        <v>1E-006</v>
      </c>
      <c r="D551" s="11" t="n">
        <v>-0.0709809063127866</v>
      </c>
      <c r="E551" s="11" t="n">
        <v>-0.217599259151708</v>
      </c>
      <c r="F551" s="11" t="n">
        <v>-0.410703398136336</v>
      </c>
      <c r="G551" s="11" t="n">
        <v>-0.217599259151708</v>
      </c>
      <c r="H551" s="15" t="n">
        <v>1.33468060458942</v>
      </c>
      <c r="I551" s="5" t="s">
        <v>360</v>
      </c>
    </row>
    <row r="552" customFormat="false" ht="15" hidden="false" customHeight="false" outlineLevel="0" collapsed="false">
      <c r="A552" s="5" t="s">
        <v>753</v>
      </c>
      <c r="B552" s="2" t="s">
        <v>356</v>
      </c>
      <c r="C552" s="11" t="n">
        <v>1E-006</v>
      </c>
      <c r="D552" s="11" t="n">
        <v>-0.0384052529008629</v>
      </c>
      <c r="E552" s="11" t="n">
        <v>-0.124444070687627</v>
      </c>
      <c r="F552" s="11" t="n">
        <v>-0.256290009535982</v>
      </c>
      <c r="G552" s="11" t="n">
        <v>-0.124444070687627</v>
      </c>
      <c r="H552" s="15" t="n">
        <v>1.16923363970246</v>
      </c>
      <c r="I552" s="5" t="s">
        <v>360</v>
      </c>
    </row>
    <row r="553" customFormat="false" ht="15" hidden="false" customHeight="false" outlineLevel="0" collapsed="false">
      <c r="A553" s="5" t="s">
        <v>753</v>
      </c>
      <c r="B553" s="2" t="s">
        <v>360</v>
      </c>
      <c r="C553" s="11" t="n">
        <v>0.3</v>
      </c>
      <c r="D553" s="11" t="n">
        <v>-0.0246499404156733</v>
      </c>
      <c r="E553" s="11" t="n">
        <v>-0.0838770754592044</v>
      </c>
      <c r="F553" s="11" t="n">
        <v>-0.186959881118913</v>
      </c>
      <c r="G553" s="11" t="n">
        <v>-0.0838770754592044</v>
      </c>
      <c r="H553" s="15" t="n">
        <v>1.10223350983185</v>
      </c>
      <c r="I553" s="5" t="s">
        <v>356</v>
      </c>
    </row>
    <row r="554" customFormat="false" ht="15" hidden="false" customHeight="false" outlineLevel="0" collapsed="false">
      <c r="A554" s="5" t="s">
        <v>753</v>
      </c>
      <c r="B554" s="2" t="s">
        <v>363</v>
      </c>
      <c r="C554" s="11" t="n">
        <v>0.4</v>
      </c>
      <c r="D554" s="11" t="n">
        <v>-0.00476446975539591</v>
      </c>
      <c r="E554" s="11" t="n">
        <v>-0.0158942599777214</v>
      </c>
      <c r="F554" s="11" t="n">
        <v>-0.0344730327288552</v>
      </c>
      <c r="G554" s="11" t="n">
        <v>-0.0158942599777214</v>
      </c>
      <c r="H554" s="15" t="n">
        <v>1.01902809748595</v>
      </c>
      <c r="I554" s="5" t="s">
        <v>360</v>
      </c>
    </row>
    <row r="555" customFormat="false" ht="15" hidden="false" customHeight="false" outlineLevel="0" collapsed="false">
      <c r="A555" s="5" t="s">
        <v>754</v>
      </c>
      <c r="B555" s="2" t="s">
        <v>408</v>
      </c>
      <c r="C555" s="11" t="n">
        <v>1E-006</v>
      </c>
      <c r="D555" s="11" t="n">
        <v>-0.0205493334324423</v>
      </c>
      <c r="E555" s="11" t="n">
        <v>-0.439906999148013</v>
      </c>
      <c r="F555" s="11" t="n">
        <v>-0.679920865492578</v>
      </c>
      <c r="G555" s="11" t="n">
        <v>-0.999999998529412</v>
      </c>
      <c r="H555" s="15" t="n">
        <v>1.12291781227947</v>
      </c>
      <c r="I555" s="5" t="s">
        <v>418</v>
      </c>
    </row>
    <row r="556" customFormat="false" ht="15" hidden="false" customHeight="false" outlineLevel="0" collapsed="false">
      <c r="A556" s="5" t="s">
        <v>754</v>
      </c>
      <c r="B556" s="2" t="s">
        <v>411</v>
      </c>
      <c r="C556" s="11" t="n">
        <v>0.5</v>
      </c>
      <c r="D556" s="11" t="n">
        <v>-0.0146600574182596</v>
      </c>
      <c r="E556" s="11" t="n">
        <v>-0.149651567873347</v>
      </c>
      <c r="F556" s="11" t="n">
        <v>-0.204784547989004</v>
      </c>
      <c r="G556" s="11" t="n">
        <v>-0.999999995117188</v>
      </c>
      <c r="H556" s="15" t="n">
        <v>1.03295313233588</v>
      </c>
      <c r="I556" s="5" t="s">
        <v>418</v>
      </c>
    </row>
    <row r="557" customFormat="false" ht="15" hidden="false" customHeight="false" outlineLevel="0" collapsed="false">
      <c r="A557" s="5" t="s">
        <v>754</v>
      </c>
      <c r="B557" s="2" t="s">
        <v>414</v>
      </c>
      <c r="C557" s="11" t="n">
        <v>0.35</v>
      </c>
      <c r="D557" s="11" t="n">
        <v>-0.00272822287511376</v>
      </c>
      <c r="E557" s="11" t="n">
        <v>-0.0301326928064674</v>
      </c>
      <c r="F557" s="11" t="n">
        <v>-0.0435570997271737</v>
      </c>
      <c r="G557" s="11" t="n">
        <v>-0.354701783387213</v>
      </c>
      <c r="H557" s="15" t="n">
        <v>1.54967110439119</v>
      </c>
      <c r="I557" s="5" t="s">
        <v>416</v>
      </c>
    </row>
    <row r="558" customFormat="false" ht="15" hidden="false" customHeight="false" outlineLevel="0" collapsed="false">
      <c r="A558" s="5" t="s">
        <v>754</v>
      </c>
      <c r="B558" s="2" t="s">
        <v>416</v>
      </c>
      <c r="C558" s="11" t="n">
        <v>0.5</v>
      </c>
      <c r="D558" s="11" t="n">
        <v>-0.0031041694694649</v>
      </c>
      <c r="E558" s="11" t="n">
        <v>-0.0366734496049226</v>
      </c>
      <c r="F558" s="11" t="n">
        <v>-0.0545894115470549</v>
      </c>
      <c r="G558" s="11" t="n">
        <v>-0.432279442997552</v>
      </c>
      <c r="H558" s="15" t="n">
        <v>1.45851282799304</v>
      </c>
      <c r="I558" s="5" t="s">
        <v>414</v>
      </c>
    </row>
    <row r="559" customFormat="false" ht="15" hidden="false" customHeight="false" outlineLevel="0" collapsed="false">
      <c r="A559" s="5" t="s">
        <v>754</v>
      </c>
      <c r="B559" s="2" t="s">
        <v>418</v>
      </c>
      <c r="C559" s="11" t="n">
        <v>1E-006</v>
      </c>
      <c r="D559" s="11" t="n">
        <v>-2.89878602379723E-005</v>
      </c>
      <c r="E559" s="11" t="n">
        <v>-0.00033493129481843</v>
      </c>
      <c r="F559" s="11" t="n">
        <v>-0.999999999</v>
      </c>
      <c r="G559" s="11" t="n">
        <v>-0.00033493129481843</v>
      </c>
      <c r="H559" s="15" t="n">
        <v>1.00082414137915</v>
      </c>
      <c r="I559" s="5" t="s">
        <v>416</v>
      </c>
    </row>
    <row r="560" customFormat="false" ht="15" hidden="false" customHeight="false" outlineLevel="0" collapsed="false">
      <c r="A560" s="5" t="s">
        <v>777</v>
      </c>
      <c r="B560" s="2" t="s">
        <v>408</v>
      </c>
      <c r="C560" s="11" t="n">
        <v>1E-006</v>
      </c>
      <c r="D560" s="11" t="n">
        <v>-0.0205678159926668</v>
      </c>
      <c r="E560" s="11" t="n">
        <v>-0.446282219725237</v>
      </c>
      <c r="F560" s="11" t="n">
        <v>-0.679969896169699</v>
      </c>
      <c r="G560" s="11" t="n">
        <v>-0.999999998529412</v>
      </c>
      <c r="H560" s="15" t="n">
        <v>1.12549172470112</v>
      </c>
      <c r="I560" s="5" t="s">
        <v>418</v>
      </c>
    </row>
    <row r="561" customFormat="false" ht="15" hidden="false" customHeight="false" outlineLevel="0" collapsed="false">
      <c r="A561" s="5" t="s">
        <v>777</v>
      </c>
      <c r="B561" s="2" t="s">
        <v>411</v>
      </c>
      <c r="C561" s="11" t="n">
        <v>0.5</v>
      </c>
      <c r="D561" s="11" t="n">
        <v>-0.0151402779942234</v>
      </c>
      <c r="E561" s="11" t="n">
        <v>-0.150838779735773</v>
      </c>
      <c r="F561" s="11" t="n">
        <v>-0.204794110849484</v>
      </c>
      <c r="G561" s="11" t="n">
        <v>-0.999999995117188</v>
      </c>
      <c r="H561" s="15" t="n">
        <v>1.03324180519155</v>
      </c>
      <c r="I561" s="5" t="s">
        <v>418</v>
      </c>
    </row>
    <row r="562" customFormat="false" ht="15" hidden="false" customHeight="false" outlineLevel="0" collapsed="false">
      <c r="A562" s="5" t="s">
        <v>777</v>
      </c>
      <c r="B562" s="2" t="s">
        <v>414</v>
      </c>
      <c r="C562" s="11" t="n">
        <v>0.35</v>
      </c>
      <c r="D562" s="11" t="n">
        <v>-0.00168890102359831</v>
      </c>
      <c r="E562" s="11" t="n">
        <v>-0.0188123707545524</v>
      </c>
      <c r="F562" s="11" t="n">
        <v>-0.0273510231013487</v>
      </c>
      <c r="G562" s="11" t="n">
        <v>-0.220892045258118</v>
      </c>
      <c r="H562" s="15" t="n">
        <v>1.28351917589046</v>
      </c>
      <c r="I562" s="5" t="s">
        <v>416</v>
      </c>
    </row>
    <row r="563" customFormat="false" ht="15" hidden="false" customHeight="false" outlineLevel="0" collapsed="false">
      <c r="A563" s="5" t="s">
        <v>777</v>
      </c>
      <c r="B563" s="2" t="s">
        <v>416</v>
      </c>
      <c r="C563" s="11" t="n">
        <v>0.5</v>
      </c>
      <c r="D563" s="11" t="n">
        <v>-0.00450435861323029</v>
      </c>
      <c r="E563" s="11" t="n">
        <v>-0.0518648859832165</v>
      </c>
      <c r="F563" s="11" t="n">
        <v>-0.0757706961582072</v>
      </c>
      <c r="G563" s="11" t="n">
        <v>-0.613173618892924</v>
      </c>
      <c r="H563" s="15" t="n">
        <v>1.88360258074127</v>
      </c>
      <c r="I563" s="5" t="s">
        <v>414</v>
      </c>
    </row>
    <row r="564" customFormat="false" ht="15" hidden="false" customHeight="false" outlineLevel="0" collapsed="false">
      <c r="A564" s="5" t="s">
        <v>777</v>
      </c>
      <c r="B564" s="2" t="s">
        <v>418</v>
      </c>
      <c r="C564" s="11" t="n">
        <v>1E-006</v>
      </c>
      <c r="D564" s="11" t="n">
        <v>-1.13274786246453E-005</v>
      </c>
      <c r="E564" s="11" t="n">
        <v>-0.000129529858383437</v>
      </c>
      <c r="F564" s="11" t="n">
        <v>-0.999999999</v>
      </c>
      <c r="G564" s="11" t="n">
        <v>-0.000129529858383437</v>
      </c>
      <c r="H564" s="15" t="n">
        <v>1.00030475577716</v>
      </c>
      <c r="I564" s="5" t="s">
        <v>416</v>
      </c>
    </row>
    <row r="565" customFormat="false" ht="15" hidden="false" customHeight="false" outlineLevel="0" collapsed="false">
      <c r="A565" s="5" t="s">
        <v>794</v>
      </c>
      <c r="B565" s="2" t="s">
        <v>457</v>
      </c>
      <c r="C565" s="11" t="n">
        <v>1E-006</v>
      </c>
      <c r="D565" s="11" t="n">
        <v>-0.0710800820573259</v>
      </c>
      <c r="E565" s="11" t="n">
        <v>-0.302710231819994</v>
      </c>
      <c r="F565" s="11" t="n">
        <v>-0.633994020462191</v>
      </c>
      <c r="G565" s="11" t="n">
        <v>-0.302710231819994</v>
      </c>
      <c r="H565" s="15" t="n">
        <v>1.43412401218807</v>
      </c>
      <c r="I565" s="5" t="s">
        <v>460</v>
      </c>
    </row>
    <row r="566" customFormat="false" ht="15" hidden="false" customHeight="false" outlineLevel="0" collapsed="false">
      <c r="A566" s="5" t="s">
        <v>794</v>
      </c>
      <c r="B566" s="2" t="s">
        <v>460</v>
      </c>
      <c r="C566" s="11" t="n">
        <v>1E-006</v>
      </c>
      <c r="D566" s="11" t="n">
        <v>-0.0199413904029138</v>
      </c>
      <c r="E566" s="11" t="n">
        <v>-0.0860694244712219</v>
      </c>
      <c r="F566" s="11" t="n">
        <v>-0.191156200408019</v>
      </c>
      <c r="G566" s="11" t="n">
        <v>-0.0860694244712219</v>
      </c>
      <c r="H566" s="15" t="n">
        <v>1.1190731901701</v>
      </c>
      <c r="I566" s="5" t="s">
        <v>457</v>
      </c>
    </row>
    <row r="567" customFormat="false" ht="15" hidden="false" customHeight="false" outlineLevel="0" collapsed="false">
      <c r="A567" s="5" t="s">
        <v>794</v>
      </c>
      <c r="B567" s="2" t="s">
        <v>462</v>
      </c>
      <c r="C567" s="11" t="n">
        <v>0.25</v>
      </c>
      <c r="D567" s="11" t="n">
        <v>-0.0117461960810652</v>
      </c>
      <c r="E567" s="11" t="n">
        <v>-0.0512622793187765</v>
      </c>
      <c r="F567" s="11" t="n">
        <v>-0.1162334404756</v>
      </c>
      <c r="G567" s="11" t="n">
        <v>-0.0512622793187765</v>
      </c>
      <c r="H567" s="15" t="n">
        <v>1.06799025528423</v>
      </c>
      <c r="I567" s="5" t="s">
        <v>457</v>
      </c>
    </row>
    <row r="568" customFormat="false" ht="15" hidden="false" customHeight="false" outlineLevel="0" collapsed="false">
      <c r="A568" s="5" t="s">
        <v>794</v>
      </c>
      <c r="B568" s="2" t="s">
        <v>465</v>
      </c>
      <c r="C568" s="11" t="n">
        <v>0.5</v>
      </c>
      <c r="D568" s="11" t="n">
        <v>-0.000950297122423782</v>
      </c>
      <c r="E568" s="11" t="n">
        <v>-0.00425111687850155</v>
      </c>
      <c r="F568" s="11" t="n">
        <v>-0.0100932521076644</v>
      </c>
      <c r="G568" s="11" t="n">
        <v>-0.00425111687850155</v>
      </c>
      <c r="H568" s="15" t="n">
        <v>1.00533942741157</v>
      </c>
      <c r="I568" s="5" t="s">
        <v>457</v>
      </c>
    </row>
    <row r="569" customFormat="false" ht="15" hidden="false" customHeight="false" outlineLevel="0" collapsed="false">
      <c r="A569" s="5" t="s">
        <v>794</v>
      </c>
      <c r="B569" s="2" t="s">
        <v>468</v>
      </c>
      <c r="C569" s="11" t="n">
        <v>0.15</v>
      </c>
      <c r="D569" s="11" t="n">
        <v>-0.0042279426907923</v>
      </c>
      <c r="E569" s="11" t="n">
        <v>-0.0187006621756414</v>
      </c>
      <c r="F569" s="11" t="n">
        <v>-0.0435014255973085</v>
      </c>
      <c r="G569" s="11" t="n">
        <v>-0.0187006621756414</v>
      </c>
      <c r="H569" s="15" t="n">
        <v>1.02387777916055</v>
      </c>
      <c r="I569" s="5" t="s">
        <v>457</v>
      </c>
    </row>
    <row r="570" customFormat="false" ht="15" hidden="false" customHeight="false" outlineLevel="0" collapsed="false">
      <c r="A570" s="5" t="s">
        <v>794</v>
      </c>
      <c r="B570" s="2" t="s">
        <v>472</v>
      </c>
      <c r="C570" s="11" t="n">
        <v>1E-006</v>
      </c>
      <c r="D570" s="11" t="n">
        <v>-0.00135883069813891</v>
      </c>
      <c r="E570" s="11" t="n">
        <v>-0.00605764451351742</v>
      </c>
      <c r="F570" s="11" t="n">
        <v>-0.0142941054334917</v>
      </c>
      <c r="G570" s="11" t="n">
        <v>-0.00605764451351742</v>
      </c>
      <c r="H570" s="15" t="n">
        <v>1.00762399889762</v>
      </c>
      <c r="I570" s="5" t="s">
        <v>457</v>
      </c>
    </row>
    <row r="571" customFormat="false" ht="15" hidden="false" customHeight="false" outlineLevel="0" collapsed="false">
      <c r="A571" s="5" t="s">
        <v>795</v>
      </c>
      <c r="B571" s="2" t="s">
        <v>510</v>
      </c>
      <c r="C571" s="11" t="n">
        <v>1E-006</v>
      </c>
      <c r="D571" s="11" t="n">
        <v>-0.144659784355912</v>
      </c>
      <c r="E571" s="11" t="n">
        <v>-0.271864993119086</v>
      </c>
      <c r="F571" s="11" t="n">
        <v>-0.396228000563729</v>
      </c>
      <c r="G571" s="11" t="n">
        <v>-0.271864993119086</v>
      </c>
      <c r="H571" s="15" t="n">
        <v>1.52657255946929</v>
      </c>
      <c r="I571" s="5" t="s">
        <v>514</v>
      </c>
    </row>
    <row r="572" customFormat="false" ht="15" hidden="false" customHeight="false" outlineLevel="0" collapsed="false">
      <c r="A572" s="5" t="s">
        <v>795</v>
      </c>
      <c r="B572" s="2" t="s">
        <v>514</v>
      </c>
      <c r="C572" s="11" t="n">
        <v>1E-006</v>
      </c>
      <c r="D572" s="11" t="n">
        <v>-0.0690951140016289</v>
      </c>
      <c r="E572" s="11" t="n">
        <v>-0.138147735423329</v>
      </c>
      <c r="F572" s="11" t="n">
        <v>-0.216395897363181</v>
      </c>
      <c r="G572" s="11" t="n">
        <v>-0.138147735423329</v>
      </c>
      <c r="H572" s="15" t="n">
        <v>1.20422867982503</v>
      </c>
      <c r="I572" s="5" t="s">
        <v>516</v>
      </c>
    </row>
    <row r="573" customFormat="false" ht="15" hidden="false" customHeight="false" outlineLevel="0" collapsed="false">
      <c r="A573" s="5" t="s">
        <v>795</v>
      </c>
      <c r="B573" s="2" t="s">
        <v>516</v>
      </c>
      <c r="C573" s="11" t="n">
        <v>1E-006</v>
      </c>
      <c r="D573" s="11" t="n">
        <v>-0.0491963606464252</v>
      </c>
      <c r="E573" s="11" t="n">
        <v>-0.0984253317699708</v>
      </c>
      <c r="F573" s="11" t="n">
        <v>-0.154437597004222</v>
      </c>
      <c r="G573" s="11" t="n">
        <v>-0.0984253317699708</v>
      </c>
      <c r="H573" s="15" t="n">
        <v>1.14814762651009</v>
      </c>
      <c r="I573" s="5" t="s">
        <v>514</v>
      </c>
    </row>
    <row r="574" customFormat="false" ht="15" hidden="false" customHeight="false" outlineLevel="0" collapsed="false">
      <c r="A574" s="5" t="s">
        <v>795</v>
      </c>
      <c r="B574" s="2" t="s">
        <v>518</v>
      </c>
      <c r="C574" s="11" t="n">
        <v>0.3</v>
      </c>
      <c r="D574" s="11" t="n">
        <v>-0.0200309506839325</v>
      </c>
      <c r="E574" s="11" t="n">
        <v>-0.040465420057038</v>
      </c>
      <c r="F574" s="11" t="n">
        <v>-0.064275122207988</v>
      </c>
      <c r="G574" s="11" t="n">
        <v>-0.040465420057038</v>
      </c>
      <c r="H574" s="15" t="n">
        <v>1.05662080864329</v>
      </c>
      <c r="I574" s="5" t="s">
        <v>514</v>
      </c>
    </row>
    <row r="575" customFormat="false" ht="15" hidden="false" customHeight="false" outlineLevel="0" collapsed="false">
      <c r="A575" s="5" t="s">
        <v>795</v>
      </c>
      <c r="B575" s="2" t="s">
        <v>521</v>
      </c>
      <c r="C575" s="11" t="n">
        <v>0.4</v>
      </c>
      <c r="D575" s="11" t="n">
        <v>-0.0137956682955698</v>
      </c>
      <c r="E575" s="11" t="n">
        <v>-0.0277437728214485</v>
      </c>
      <c r="F575" s="11" t="n">
        <v>-0.0438583958338599</v>
      </c>
      <c r="G575" s="11" t="n">
        <v>-0.0277437728214485</v>
      </c>
      <c r="H575" s="15" t="n">
        <v>1.03822708732857</v>
      </c>
      <c r="I575" s="5" t="s">
        <v>514</v>
      </c>
    </row>
    <row r="576" customFormat="false" ht="15" hidden="false" customHeight="false" outlineLevel="0" collapsed="false">
      <c r="A576" s="5" t="s">
        <v>796</v>
      </c>
      <c r="B576" s="2" t="s">
        <v>559</v>
      </c>
      <c r="C576" s="11" t="n">
        <v>1E-006</v>
      </c>
      <c r="D576" s="11" t="n">
        <v>-1.64218216802681E-009</v>
      </c>
      <c r="E576" s="11" t="n">
        <v>-0.0768862334500842</v>
      </c>
      <c r="F576" s="11" t="n">
        <v>-0.904801893530761</v>
      </c>
      <c r="G576" s="11" t="n">
        <v>-0.0768862334500842</v>
      </c>
      <c r="H576" s="15" t="n">
        <v>1.08329009514986</v>
      </c>
      <c r="I576" s="5" t="s">
        <v>551</v>
      </c>
    </row>
    <row r="577" customFormat="false" ht="15" hidden="false" customHeight="false" outlineLevel="0" collapsed="false">
      <c r="A577" s="5" t="s">
        <v>796</v>
      </c>
      <c r="B577" s="2" t="s">
        <v>551</v>
      </c>
      <c r="C577" s="11" t="n">
        <v>0.3</v>
      </c>
      <c r="D577" s="11" t="n">
        <v>-5.57895951658338E-011</v>
      </c>
      <c r="E577" s="11" t="n">
        <v>-0.00267861957482807</v>
      </c>
      <c r="F577" s="11" t="n">
        <v>-0.0671874273492394</v>
      </c>
      <c r="G577" s="11" t="n">
        <v>-0.00267861957482807</v>
      </c>
      <c r="H577" s="15" t="n">
        <v>1.00244135116131</v>
      </c>
      <c r="I577" s="5" t="s">
        <v>559</v>
      </c>
    </row>
    <row r="578" customFormat="false" ht="15" hidden="false" customHeight="false" outlineLevel="0" collapsed="false">
      <c r="A578" s="5" t="s">
        <v>796</v>
      </c>
      <c r="B578" s="2" t="s">
        <v>565</v>
      </c>
      <c r="C578" s="11" t="n">
        <v>1E-006</v>
      </c>
      <c r="D578" s="11" t="n">
        <v>-1.23342669411386E-010</v>
      </c>
      <c r="E578" s="11" t="n">
        <v>-0.00587939769532375</v>
      </c>
      <c r="F578" s="11" t="n">
        <v>-0.125839241685549</v>
      </c>
      <c r="G578" s="11" t="n">
        <v>-0.00587939769532375</v>
      </c>
      <c r="H578" s="15" t="n">
        <v>1.00591416944956</v>
      </c>
      <c r="I578" s="5" t="s">
        <v>551</v>
      </c>
    </row>
    <row r="579" customFormat="false" ht="15" hidden="false" customHeight="false" outlineLevel="0" collapsed="false">
      <c r="A579" s="5" t="s">
        <v>797</v>
      </c>
      <c r="B579" s="2" t="s">
        <v>586</v>
      </c>
      <c r="C579" s="11" t="n">
        <v>1E-006</v>
      </c>
      <c r="D579" s="11" t="n">
        <v>-0.288037712009686</v>
      </c>
      <c r="E579" s="11" t="n">
        <v>-0.891085920456877</v>
      </c>
      <c r="F579" s="11" t="n">
        <v>-0.999973323417999</v>
      </c>
      <c r="G579" s="11" t="n">
        <v>-0.891085920456877</v>
      </c>
      <c r="H579" s="15" t="n">
        <v>2.09397740678418</v>
      </c>
      <c r="I579" s="5" t="s">
        <v>589</v>
      </c>
    </row>
    <row r="580" customFormat="false" ht="15" hidden="false" customHeight="false" outlineLevel="0" collapsed="false">
      <c r="A580" s="5" t="s">
        <v>797</v>
      </c>
      <c r="B580" s="2" t="s">
        <v>589</v>
      </c>
      <c r="C580" s="11" t="n">
        <v>0.3</v>
      </c>
      <c r="D580" s="11" t="n">
        <v>-0.00192135350215117</v>
      </c>
      <c r="E580" s="11" t="n">
        <v>-0.00938835618481271</v>
      </c>
      <c r="F580" s="11" t="n">
        <v>-0.0211049767022986</v>
      </c>
      <c r="G580" s="11" t="n">
        <v>-0.00938835618481271</v>
      </c>
      <c r="H580" s="15" t="n">
        <v>1.00947733276045</v>
      </c>
      <c r="I580" s="5" t="s">
        <v>586</v>
      </c>
    </row>
    <row r="583" customFormat="false" ht="15" hidden="false" customHeight="false" outlineLevel="0" collapsed="false">
      <c r="A583" s="14" t="s">
        <v>806</v>
      </c>
    </row>
    <row r="584" customFormat="false" ht="52.2" hidden="false" customHeight="false" outlineLevel="0" collapsed="false">
      <c r="A584" s="6" t="s">
        <v>25</v>
      </c>
      <c r="B584" s="6" t="s">
        <v>807</v>
      </c>
      <c r="C584" s="6" t="s">
        <v>631</v>
      </c>
      <c r="D584" s="6" t="s">
        <v>808</v>
      </c>
    </row>
    <row r="585" customFormat="false" ht="15" hidden="false" customHeight="false" outlineLevel="0" collapsed="false">
      <c r="A585" s="5" t="s">
        <v>641</v>
      </c>
      <c r="B585" s="5" t="s">
        <v>217</v>
      </c>
      <c r="C585" s="5" t="s">
        <v>642</v>
      </c>
      <c r="D585" s="11" t="n">
        <v>0.865903144932367</v>
      </c>
    </row>
    <row r="586" customFormat="false" ht="15" hidden="false" customHeight="false" outlineLevel="0" collapsed="false">
      <c r="A586" s="5" t="s">
        <v>641</v>
      </c>
      <c r="B586" s="5" t="s">
        <v>217</v>
      </c>
      <c r="C586" s="5" t="s">
        <v>645</v>
      </c>
      <c r="D586" s="11" t="n">
        <v>0.973572889402354</v>
      </c>
    </row>
    <row r="587" customFormat="false" ht="15" hidden="false" customHeight="false" outlineLevel="0" collapsed="false">
      <c r="A587" s="5" t="s">
        <v>641</v>
      </c>
      <c r="B587" s="5" t="s">
        <v>221</v>
      </c>
      <c r="C587" s="5" t="s">
        <v>642</v>
      </c>
      <c r="D587" s="11" t="n">
        <v>0.941763893273878</v>
      </c>
    </row>
    <row r="588" customFormat="false" ht="15" hidden="false" customHeight="false" outlineLevel="0" collapsed="false">
      <c r="A588" s="5" t="s">
        <v>641</v>
      </c>
      <c r="B588" s="5" t="s">
        <v>221</v>
      </c>
      <c r="C588" s="5" t="s">
        <v>645</v>
      </c>
      <c r="D588" s="11" t="n">
        <v>0.990225940360874</v>
      </c>
    </row>
    <row r="589" customFormat="false" ht="15" hidden="false" customHeight="false" outlineLevel="0" collapsed="false">
      <c r="A589" s="5" t="s">
        <v>709</v>
      </c>
      <c r="B589" s="5" t="s">
        <v>217</v>
      </c>
      <c r="C589" s="5" t="s">
        <v>642</v>
      </c>
      <c r="D589" s="11" t="n">
        <v>0.859561018223253</v>
      </c>
    </row>
    <row r="590" customFormat="false" ht="15" hidden="false" customHeight="false" outlineLevel="0" collapsed="false">
      <c r="A590" s="5" t="s">
        <v>709</v>
      </c>
      <c r="B590" s="5" t="s">
        <v>217</v>
      </c>
      <c r="C590" s="5" t="s">
        <v>645</v>
      </c>
      <c r="D590" s="11" t="n">
        <v>0.975954653353106</v>
      </c>
    </row>
    <row r="591" customFormat="false" ht="15" hidden="false" customHeight="false" outlineLevel="0" collapsed="false">
      <c r="A591" s="5" t="s">
        <v>709</v>
      </c>
      <c r="B591" s="5" t="s">
        <v>221</v>
      </c>
      <c r="C591" s="5" t="s">
        <v>642</v>
      </c>
      <c r="D591" s="11" t="n">
        <v>0.939231601365513</v>
      </c>
    </row>
    <row r="592" customFormat="false" ht="15" hidden="false" customHeight="false" outlineLevel="0" collapsed="false">
      <c r="A592" s="5" t="s">
        <v>709</v>
      </c>
      <c r="B592" s="5" t="s">
        <v>221</v>
      </c>
      <c r="C592" s="5" t="s">
        <v>645</v>
      </c>
      <c r="D592" s="11" t="n">
        <v>0.991155474485554</v>
      </c>
    </row>
    <row r="593" customFormat="false" ht="15" hidden="false" customHeight="false" outlineLevel="0" collapsed="false">
      <c r="A593" s="5" t="s">
        <v>754</v>
      </c>
      <c r="B593" s="5" t="s">
        <v>408</v>
      </c>
      <c r="C593" s="5" t="s">
        <v>642</v>
      </c>
      <c r="D593" s="11" t="n">
        <v>0.559515203792375</v>
      </c>
    </row>
    <row r="594" customFormat="false" ht="15" hidden="false" customHeight="false" outlineLevel="0" collapsed="false">
      <c r="A594" s="5" t="s">
        <v>754</v>
      </c>
      <c r="B594" s="5" t="s">
        <v>408</v>
      </c>
      <c r="C594" s="5" t="s">
        <v>645</v>
      </c>
      <c r="D594" s="11" t="n">
        <v>0.999737312496732</v>
      </c>
    </row>
    <row r="595" customFormat="false" ht="15" hidden="false" customHeight="false" outlineLevel="0" collapsed="false">
      <c r="A595" s="5" t="s">
        <v>754</v>
      </c>
      <c r="B595" s="5" t="s">
        <v>411</v>
      </c>
      <c r="C595" s="5" t="s">
        <v>642</v>
      </c>
      <c r="D595" s="11" t="n">
        <v>0.850160970456904</v>
      </c>
    </row>
    <row r="596" customFormat="false" ht="15" hidden="false" customHeight="false" outlineLevel="0" collapsed="false">
      <c r="A596" s="5" t="s">
        <v>754</v>
      </c>
      <c r="B596" s="5" t="s">
        <v>411</v>
      </c>
      <c r="C596" s="5" t="s">
        <v>645</v>
      </c>
      <c r="D596" s="11" t="n">
        <v>0.9999518586347</v>
      </c>
    </row>
    <row r="597" customFormat="false" ht="15" hidden="false" customHeight="false" outlineLevel="0" collapsed="false">
      <c r="A597" s="5" t="s">
        <v>777</v>
      </c>
      <c r="B597" s="5" t="s">
        <v>408</v>
      </c>
      <c r="C597" s="5" t="s">
        <v>642</v>
      </c>
      <c r="D597" s="11" t="n">
        <v>0.55348825115409</v>
      </c>
    </row>
    <row r="598" customFormat="false" ht="15" hidden="false" customHeight="false" outlineLevel="0" collapsed="false">
      <c r="A598" s="5" t="s">
        <v>777</v>
      </c>
      <c r="B598" s="5" t="s">
        <v>408</v>
      </c>
      <c r="C598" s="5" t="s">
        <v>645</v>
      </c>
      <c r="D598" s="11" t="n">
        <v>0.999897265899303</v>
      </c>
    </row>
    <row r="599" customFormat="false" ht="15" hidden="false" customHeight="false" outlineLevel="0" collapsed="false">
      <c r="A599" s="5" t="s">
        <v>777</v>
      </c>
      <c r="B599" s="5" t="s">
        <v>411</v>
      </c>
      <c r="C599" s="5" t="s">
        <v>642</v>
      </c>
      <c r="D599" s="11" t="n">
        <v>0.84908732485917</v>
      </c>
    </row>
    <row r="600" customFormat="false" ht="15" hidden="false" customHeight="false" outlineLevel="0" collapsed="false">
      <c r="A600" s="5" t="s">
        <v>777</v>
      </c>
      <c r="B600" s="5" t="s">
        <v>411</v>
      </c>
      <c r="C600" s="5" t="s">
        <v>645</v>
      </c>
      <c r="D600" s="11" t="n">
        <v>0.999981174775526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4" t="s">
        <v>809</v>
      </c>
    </row>
    <row r="3" customFormat="false" ht="15" hidden="false" customHeight="false" outlineLevel="0" collapsed="false">
      <c r="A3" s="6" t="s">
        <v>810</v>
      </c>
      <c r="B3" s="6" t="s">
        <v>811</v>
      </c>
      <c r="C3" s="6" t="s">
        <v>812</v>
      </c>
      <c r="D3" s="6" t="s">
        <v>813</v>
      </c>
    </row>
    <row r="4" customFormat="false" ht="35.05" hidden="false" customHeight="false" outlineLevel="0" collapsed="false">
      <c r="A4" s="5" t="n">
        <v>1</v>
      </c>
      <c r="B4" s="2" t="s">
        <v>814</v>
      </c>
      <c r="C4" s="2" t="s">
        <v>815</v>
      </c>
      <c r="D4" s="5" t="s">
        <v>816</v>
      </c>
    </row>
    <row r="5" customFormat="false" ht="23.85" hidden="false" customHeight="false" outlineLevel="0" collapsed="false">
      <c r="A5" s="5" t="n">
        <v>2</v>
      </c>
      <c r="B5" s="2" t="s">
        <v>817</v>
      </c>
      <c r="C5" s="2" t="s">
        <v>818</v>
      </c>
      <c r="D5" s="5" t="s">
        <v>819</v>
      </c>
    </row>
    <row r="6" customFormat="false" ht="23.85" hidden="false" customHeight="false" outlineLevel="0" collapsed="false">
      <c r="A6" s="5" t="n">
        <v>3</v>
      </c>
      <c r="B6" s="2" t="s">
        <v>820</v>
      </c>
      <c r="C6" s="2" t="s">
        <v>821</v>
      </c>
      <c r="D6" s="5" t="s">
        <v>822</v>
      </c>
    </row>
    <row r="7" customFormat="false" ht="23.85" hidden="false" customHeight="false" outlineLevel="0" collapsed="false">
      <c r="A7" s="5" t="n">
        <v>4</v>
      </c>
      <c r="B7" s="2" t="s">
        <v>823</v>
      </c>
      <c r="C7" s="2" t="s">
        <v>824</v>
      </c>
      <c r="D7" s="5" t="s">
        <v>825</v>
      </c>
    </row>
    <row r="8" customFormat="false" ht="23.85" hidden="false" customHeight="false" outlineLevel="0" collapsed="false">
      <c r="A8" s="5" t="n">
        <v>5</v>
      </c>
      <c r="B8" s="2" t="s">
        <v>826</v>
      </c>
      <c r="C8" s="2" t="s">
        <v>827</v>
      </c>
      <c r="D8" s="5" t="s">
        <v>828</v>
      </c>
    </row>
    <row r="9" customFormat="false" ht="23.85" hidden="false" customHeight="false" outlineLevel="0" collapsed="false">
      <c r="A9" s="5" t="n">
        <v>6</v>
      </c>
      <c r="B9" s="2" t="s">
        <v>829</v>
      </c>
      <c r="C9" s="2" t="s">
        <v>830</v>
      </c>
      <c r="D9" s="5" t="s">
        <v>831</v>
      </c>
    </row>
    <row r="10" customFormat="false" ht="23.85" hidden="false" customHeight="false" outlineLevel="0" collapsed="false">
      <c r="A10" s="5" t="n">
        <v>7</v>
      </c>
      <c r="B10" s="2" t="s">
        <v>832</v>
      </c>
      <c r="C10" s="2" t="s">
        <v>833</v>
      </c>
      <c r="D10" s="5" t="s">
        <v>834</v>
      </c>
    </row>
    <row r="11" customFormat="false" ht="23.85" hidden="false" customHeight="false" outlineLevel="0" collapsed="false">
      <c r="A11" s="5" t="n">
        <v>8</v>
      </c>
      <c r="B11" s="2" t="s">
        <v>835</v>
      </c>
      <c r="C11" s="2" t="s">
        <v>836</v>
      </c>
      <c r="D11" s="5" t="s">
        <v>837</v>
      </c>
    </row>
    <row r="12" customFormat="false" ht="23.85" hidden="false" customHeight="false" outlineLevel="0" collapsed="false">
      <c r="A12" s="5" t="n">
        <v>9</v>
      </c>
      <c r="B12" s="2" t="s">
        <v>838</v>
      </c>
      <c r="C12" s="2" t="s">
        <v>839</v>
      </c>
      <c r="D12" s="5" t="s">
        <v>840</v>
      </c>
    </row>
    <row r="13" customFormat="false" ht="23.85" hidden="false" customHeight="false" outlineLevel="0" collapsed="false">
      <c r="A13" s="5" t="n">
        <v>10</v>
      </c>
      <c r="B13" s="2" t="s">
        <v>841</v>
      </c>
      <c r="C13" s="2" t="s">
        <v>842</v>
      </c>
      <c r="D13" s="5" t="s">
        <v>843</v>
      </c>
    </row>
    <row r="14" customFormat="false" ht="23.85" hidden="false" customHeight="false" outlineLevel="0" collapsed="false">
      <c r="A14" s="5" t="n">
        <v>11</v>
      </c>
      <c r="B14" s="2" t="s">
        <v>844</v>
      </c>
      <c r="C14" s="2" t="s">
        <v>845</v>
      </c>
      <c r="D14" s="5" t="s">
        <v>846</v>
      </c>
    </row>
    <row r="15" customFormat="false" ht="35.05" hidden="false" customHeight="false" outlineLevel="0" collapsed="false">
      <c r="A15" s="5" t="n">
        <v>12</v>
      </c>
      <c r="B15" s="2" t="s">
        <v>847</v>
      </c>
      <c r="C15" s="2" t="s">
        <v>848</v>
      </c>
      <c r="D15" s="5" t="s">
        <v>849</v>
      </c>
    </row>
    <row r="16" customFormat="false" ht="23.85" hidden="false" customHeight="false" outlineLevel="0" collapsed="false">
      <c r="A16" s="5" t="n">
        <v>13</v>
      </c>
      <c r="B16" s="2" t="s">
        <v>850</v>
      </c>
      <c r="C16" s="2" t="s">
        <v>851</v>
      </c>
      <c r="D16" s="5" t="s">
        <v>852</v>
      </c>
    </row>
    <row r="17" customFormat="false" ht="23.85" hidden="false" customHeight="false" outlineLevel="0" collapsed="false">
      <c r="A17" s="5" t="n">
        <v>14</v>
      </c>
      <c r="B17" s="2" t="s">
        <v>853</v>
      </c>
      <c r="C17" s="2" t="s">
        <v>854</v>
      </c>
      <c r="D17" s="5" t="s">
        <v>855</v>
      </c>
    </row>
    <row r="18" customFormat="false" ht="23.85" hidden="false" customHeight="false" outlineLevel="0" collapsed="false">
      <c r="A18" s="5" t="n">
        <v>15</v>
      </c>
      <c r="B18" s="2" t="s">
        <v>856</v>
      </c>
      <c r="C18" s="2" t="s">
        <v>857</v>
      </c>
      <c r="D18" s="5" t="s">
        <v>858</v>
      </c>
    </row>
    <row r="19" customFormat="false" ht="23.85" hidden="false" customHeight="false" outlineLevel="0" collapsed="false">
      <c r="A19" s="5" t="n">
        <v>16</v>
      </c>
      <c r="B19" s="2" t="s">
        <v>859</v>
      </c>
      <c r="C19" s="2" t="s">
        <v>860</v>
      </c>
      <c r="D19" s="5" t="s">
        <v>861</v>
      </c>
    </row>
    <row r="20" customFormat="false" ht="23.85" hidden="false" customHeight="false" outlineLevel="0" collapsed="false">
      <c r="A20" s="5" t="n">
        <v>17</v>
      </c>
      <c r="B20" s="2" t="s">
        <v>862</v>
      </c>
      <c r="C20" s="2" t="s">
        <v>863</v>
      </c>
      <c r="D20" s="5" t="s">
        <v>864</v>
      </c>
    </row>
    <row r="21" customFormat="false" ht="23.85" hidden="false" customHeight="false" outlineLevel="0" collapsed="false">
      <c r="A21" s="5" t="n">
        <v>18</v>
      </c>
      <c r="B21" s="2" t="s">
        <v>865</v>
      </c>
      <c r="C21" s="2" t="s">
        <v>866</v>
      </c>
      <c r="D21" s="5" t="s">
        <v>867</v>
      </c>
    </row>
    <row r="22" customFormat="false" ht="23.85" hidden="false" customHeight="false" outlineLevel="0" collapsed="false">
      <c r="A22" s="5" t="n">
        <v>19</v>
      </c>
      <c r="B22" s="2" t="s">
        <v>868</v>
      </c>
      <c r="C22" s="2" t="s">
        <v>869</v>
      </c>
      <c r="D22" s="5" t="s">
        <v>870</v>
      </c>
    </row>
    <row r="23" customFormat="false" ht="23.85" hidden="false" customHeight="false" outlineLevel="0" collapsed="false">
      <c r="A23" s="5" t="n">
        <v>20</v>
      </c>
      <c r="B23" s="2" t="s">
        <v>871</v>
      </c>
      <c r="C23" s="2" t="s">
        <v>872</v>
      </c>
      <c r="D23" s="5" t="s">
        <v>873</v>
      </c>
    </row>
    <row r="24" customFormat="false" ht="23.85" hidden="false" customHeight="false" outlineLevel="0" collapsed="false">
      <c r="A24" s="5" t="n">
        <v>21</v>
      </c>
      <c r="B24" s="2" t="s">
        <v>874</v>
      </c>
      <c r="C24" s="2" t="s">
        <v>875</v>
      </c>
      <c r="D24" s="5" t="s">
        <v>876</v>
      </c>
    </row>
    <row r="25" customFormat="false" ht="15" hidden="false" customHeight="false" outlineLevel="0" collapsed="false">
      <c r="A25" s="5" t="n">
        <v>22</v>
      </c>
      <c r="B25" s="2" t="s">
        <v>877</v>
      </c>
      <c r="C25" s="2" t="s">
        <v>878</v>
      </c>
      <c r="D25" s="5" t="s">
        <v>879</v>
      </c>
    </row>
    <row r="26" customFormat="false" ht="23.85" hidden="false" customHeight="false" outlineLevel="0" collapsed="false">
      <c r="A26" s="5" t="n">
        <v>23</v>
      </c>
      <c r="B26" s="2" t="s">
        <v>880</v>
      </c>
      <c r="C26" s="2" t="s">
        <v>881</v>
      </c>
      <c r="D26" s="5" t="s">
        <v>882</v>
      </c>
    </row>
    <row r="27" customFormat="false" ht="23.85" hidden="false" customHeight="false" outlineLevel="0" collapsed="false">
      <c r="A27" s="5" t="n">
        <v>24</v>
      </c>
      <c r="B27" s="2" t="s">
        <v>883</v>
      </c>
      <c r="C27" s="2" t="s">
        <v>884</v>
      </c>
      <c r="D27" s="5" t="s">
        <v>885</v>
      </c>
    </row>
    <row r="28" customFormat="false" ht="23.85" hidden="false" customHeight="false" outlineLevel="0" collapsed="false">
      <c r="A28" s="5" t="n">
        <v>25</v>
      </c>
      <c r="B28" s="2" t="s">
        <v>886</v>
      </c>
      <c r="C28" s="2" t="s">
        <v>887</v>
      </c>
      <c r="D28" s="5" t="s">
        <v>888</v>
      </c>
    </row>
    <row r="29" customFormat="false" ht="23.85" hidden="false" customHeight="false" outlineLevel="0" collapsed="false">
      <c r="A29" s="5" t="n">
        <v>26</v>
      </c>
      <c r="B29" s="2" t="s">
        <v>889</v>
      </c>
      <c r="C29" s="2" t="s">
        <v>890</v>
      </c>
      <c r="D29" s="5" t="s">
        <v>891</v>
      </c>
    </row>
    <row r="30" customFormat="false" ht="23.85" hidden="false" customHeight="false" outlineLevel="0" collapsed="false">
      <c r="A30" s="5" t="n">
        <v>27</v>
      </c>
      <c r="B30" s="2" t="s">
        <v>892</v>
      </c>
      <c r="C30" s="2" t="s">
        <v>893</v>
      </c>
      <c r="D30" s="5" t="s">
        <v>894</v>
      </c>
    </row>
    <row r="31" customFormat="false" ht="35.05" hidden="false" customHeight="false" outlineLevel="0" collapsed="false">
      <c r="A31" s="5" t="n">
        <v>28</v>
      </c>
      <c r="B31" s="2" t="s">
        <v>895</v>
      </c>
      <c r="C31" s="2" t="s">
        <v>896</v>
      </c>
      <c r="D31" s="5" t="s">
        <v>897</v>
      </c>
    </row>
    <row r="32" customFormat="false" ht="23.85" hidden="false" customHeight="false" outlineLevel="0" collapsed="false">
      <c r="A32" s="5" t="n">
        <v>29</v>
      </c>
      <c r="B32" s="2" t="s">
        <v>898</v>
      </c>
      <c r="C32" s="2" t="s">
        <v>899</v>
      </c>
      <c r="D32" s="5" t="s">
        <v>900</v>
      </c>
    </row>
    <row r="33" customFormat="false" ht="23.85" hidden="false" customHeight="false" outlineLevel="0" collapsed="false">
      <c r="A33" s="5" t="n">
        <v>30</v>
      </c>
      <c r="B33" s="2" t="s">
        <v>901</v>
      </c>
      <c r="C33" s="2" t="s">
        <v>902</v>
      </c>
      <c r="D33" s="5" t="s">
        <v>903</v>
      </c>
    </row>
    <row r="34" customFormat="false" ht="23.85" hidden="false" customHeight="false" outlineLevel="0" collapsed="false">
      <c r="A34" s="5" t="n">
        <v>31</v>
      </c>
      <c r="B34" s="2" t="s">
        <v>904</v>
      </c>
      <c r="C34" s="2" t="s">
        <v>905</v>
      </c>
      <c r="D34" s="5" t="s">
        <v>906</v>
      </c>
    </row>
    <row r="35" customFormat="false" ht="15" hidden="false" customHeight="false" outlineLevel="0" collapsed="false">
      <c r="A35" s="5" t="n">
        <v>32</v>
      </c>
      <c r="B35" s="2" t="s">
        <v>907</v>
      </c>
      <c r="C35" s="2" t="s">
        <v>908</v>
      </c>
      <c r="D35" s="5" t="s">
        <v>909</v>
      </c>
    </row>
    <row r="36" customFormat="false" ht="23.85" hidden="false" customHeight="false" outlineLevel="0" collapsed="false">
      <c r="A36" s="5" t="n">
        <v>33</v>
      </c>
      <c r="B36" s="2" t="s">
        <v>910</v>
      </c>
      <c r="C36" s="2" t="s">
        <v>911</v>
      </c>
      <c r="D36" s="5" t="s">
        <v>912</v>
      </c>
    </row>
    <row r="37" customFormat="false" ht="23.85" hidden="false" customHeight="false" outlineLevel="0" collapsed="false">
      <c r="A37" s="5" t="n">
        <v>34</v>
      </c>
      <c r="B37" s="2" t="s">
        <v>913</v>
      </c>
      <c r="C37" s="2" t="s">
        <v>914</v>
      </c>
      <c r="D37" s="5" t="s">
        <v>915</v>
      </c>
    </row>
    <row r="38" customFormat="false" ht="23.85" hidden="false" customHeight="false" outlineLevel="0" collapsed="false">
      <c r="A38" s="5" t="n">
        <v>35</v>
      </c>
      <c r="B38" s="2" t="s">
        <v>916</v>
      </c>
      <c r="C38" s="2" t="s">
        <v>917</v>
      </c>
      <c r="D38" s="5" t="s">
        <v>918</v>
      </c>
    </row>
    <row r="39" customFormat="false" ht="15" hidden="false" customHeight="false" outlineLevel="0" collapsed="false">
      <c r="A39" s="5" t="n">
        <v>36</v>
      </c>
      <c r="B39" s="2" t="s">
        <v>919</v>
      </c>
      <c r="C39" s="2" t="s">
        <v>920</v>
      </c>
      <c r="D39" s="5" t="s">
        <v>921</v>
      </c>
    </row>
    <row r="40" customFormat="false" ht="15" hidden="false" customHeight="false" outlineLevel="0" collapsed="false">
      <c r="A40" s="5" t="n">
        <v>37</v>
      </c>
      <c r="B40" s="2" t="s">
        <v>922</v>
      </c>
      <c r="C40" s="2" t="s">
        <v>923</v>
      </c>
      <c r="D40" s="5" t="s">
        <v>924</v>
      </c>
    </row>
    <row r="41" customFormat="false" ht="23.85" hidden="false" customHeight="false" outlineLevel="0" collapsed="false">
      <c r="A41" s="5" t="n">
        <v>38</v>
      </c>
      <c r="B41" s="2" t="s">
        <v>925</v>
      </c>
      <c r="C41" s="2" t="s">
        <v>926</v>
      </c>
      <c r="D41" s="5" t="s">
        <v>927</v>
      </c>
    </row>
    <row r="42" customFormat="false" ht="15" hidden="false" customHeight="false" outlineLevel="0" collapsed="false">
      <c r="A42" s="5" t="n">
        <v>39</v>
      </c>
      <c r="B42" s="2" t="s">
        <v>928</v>
      </c>
      <c r="C42" s="2" t="s">
        <v>929</v>
      </c>
      <c r="D42" s="5" t="s">
        <v>930</v>
      </c>
    </row>
    <row r="43" customFormat="false" ht="15" hidden="false" customHeight="false" outlineLevel="0" collapsed="false">
      <c r="A43" s="5" t="n">
        <v>40</v>
      </c>
      <c r="B43" s="2" t="s">
        <v>931</v>
      </c>
      <c r="C43" s="2" t="s">
        <v>932</v>
      </c>
      <c r="D43" s="5" t="s">
        <v>933</v>
      </c>
    </row>
    <row r="44" customFormat="false" ht="23.85" hidden="false" customHeight="false" outlineLevel="0" collapsed="false">
      <c r="A44" s="5" t="n">
        <v>41</v>
      </c>
      <c r="B44" s="2" t="s">
        <v>934</v>
      </c>
      <c r="C44" s="2" t="s">
        <v>935</v>
      </c>
      <c r="D44" s="5" t="s">
        <v>936</v>
      </c>
    </row>
    <row r="45" customFormat="false" ht="23.85" hidden="false" customHeight="false" outlineLevel="0" collapsed="false">
      <c r="A45" s="5" t="n">
        <v>42</v>
      </c>
      <c r="B45" s="2" t="s">
        <v>937</v>
      </c>
      <c r="C45" s="2" t="s">
        <v>938</v>
      </c>
      <c r="D45" s="5" t="s">
        <v>939</v>
      </c>
    </row>
    <row r="46" customFormat="false" ht="23.85" hidden="false" customHeight="false" outlineLevel="0" collapsed="false">
      <c r="A46" s="5" t="n">
        <v>43</v>
      </c>
      <c r="B46" s="2" t="s">
        <v>940</v>
      </c>
      <c r="C46" s="2" t="s">
        <v>941</v>
      </c>
      <c r="D46" s="5" t="s">
        <v>942</v>
      </c>
    </row>
    <row r="47" customFormat="false" ht="23.85" hidden="false" customHeight="false" outlineLevel="0" collapsed="false">
      <c r="A47" s="5" t="n">
        <v>44</v>
      </c>
      <c r="B47" s="2" t="s">
        <v>943</v>
      </c>
      <c r="C47" s="2" t="s">
        <v>944</v>
      </c>
      <c r="D47" s="5" t="s">
        <v>945</v>
      </c>
    </row>
    <row r="48" customFormat="false" ht="23.85" hidden="false" customHeight="false" outlineLevel="0" collapsed="false">
      <c r="A48" s="5" t="n">
        <v>45</v>
      </c>
      <c r="B48" s="2" t="s">
        <v>946</v>
      </c>
      <c r="C48" s="2" t="s">
        <v>947</v>
      </c>
      <c r="D48" s="5" t="s">
        <v>948</v>
      </c>
    </row>
    <row r="49" customFormat="false" ht="23.85" hidden="false" customHeight="false" outlineLevel="0" collapsed="false">
      <c r="A49" s="5" t="n">
        <v>46</v>
      </c>
      <c r="B49" s="2" t="s">
        <v>949</v>
      </c>
      <c r="C49" s="2" t="s">
        <v>950</v>
      </c>
      <c r="D49" s="5" t="s">
        <v>951</v>
      </c>
    </row>
    <row r="50" customFormat="false" ht="23.85" hidden="false" customHeight="false" outlineLevel="0" collapsed="false">
      <c r="A50" s="5" t="n">
        <v>47</v>
      </c>
      <c r="B50" s="2" t="s">
        <v>952</v>
      </c>
      <c r="C50" s="2" t="s">
        <v>953</v>
      </c>
      <c r="D50" s="5" t="s">
        <v>954</v>
      </c>
    </row>
    <row r="51" customFormat="false" ht="15" hidden="false" customHeight="false" outlineLevel="0" collapsed="false">
      <c r="A51" s="5" t="n">
        <v>48</v>
      </c>
      <c r="B51" s="2" t="s">
        <v>955</v>
      </c>
      <c r="C51" s="2" t="s">
        <v>956</v>
      </c>
      <c r="D51" s="5" t="s">
        <v>957</v>
      </c>
    </row>
    <row r="52" customFormat="false" ht="35.05" hidden="false" customHeight="false" outlineLevel="0" collapsed="false">
      <c r="A52" s="5" t="n">
        <v>49</v>
      </c>
      <c r="B52" s="2" t="s">
        <v>958</v>
      </c>
      <c r="C52" s="2" t="s">
        <v>959</v>
      </c>
      <c r="D52" s="5" t="s">
        <v>960</v>
      </c>
    </row>
    <row r="53" customFormat="false" ht="15" hidden="false" customHeight="false" outlineLevel="0" collapsed="false">
      <c r="A53" s="5" t="n">
        <v>50</v>
      </c>
      <c r="B53" s="2" t="s">
        <v>961</v>
      </c>
      <c r="C53" s="2" t="s">
        <v>962</v>
      </c>
      <c r="D53" s="5" t="s">
        <v>963</v>
      </c>
    </row>
    <row r="54" customFormat="false" ht="23.85" hidden="false" customHeight="false" outlineLevel="0" collapsed="false">
      <c r="A54" s="5" t="n">
        <v>51</v>
      </c>
      <c r="B54" s="2" t="s">
        <v>964</v>
      </c>
      <c r="C54" s="2" t="s">
        <v>965</v>
      </c>
      <c r="D54" s="5" t="s">
        <v>966</v>
      </c>
    </row>
    <row r="55" customFormat="false" ht="23.85" hidden="false" customHeight="false" outlineLevel="0" collapsed="false">
      <c r="A55" s="5" t="n">
        <v>52</v>
      </c>
      <c r="B55" s="2" t="s">
        <v>967</v>
      </c>
      <c r="C55" s="2" t="s">
        <v>968</v>
      </c>
      <c r="D55" s="5" t="s">
        <v>969</v>
      </c>
    </row>
    <row r="56" customFormat="false" ht="23.85" hidden="false" customHeight="false" outlineLevel="0" collapsed="false">
      <c r="A56" s="5" t="n">
        <v>53</v>
      </c>
      <c r="B56" s="2" t="s">
        <v>970</v>
      </c>
      <c r="C56" s="2" t="s">
        <v>971</v>
      </c>
      <c r="D56" s="5" t="s">
        <v>972</v>
      </c>
    </row>
    <row r="57" customFormat="false" ht="23.85" hidden="false" customHeight="false" outlineLevel="0" collapsed="false">
      <c r="A57" s="5" t="n">
        <v>54</v>
      </c>
      <c r="B57" s="2" t="s">
        <v>973</v>
      </c>
      <c r="C57" s="2" t="s">
        <v>974</v>
      </c>
      <c r="D57" s="5" t="s">
        <v>975</v>
      </c>
    </row>
    <row r="58" customFormat="false" ht="23.85" hidden="false" customHeight="false" outlineLevel="0" collapsed="false">
      <c r="A58" s="5" t="n">
        <v>55</v>
      </c>
      <c r="B58" s="2" t="s">
        <v>976</v>
      </c>
      <c r="C58" s="2" t="s">
        <v>977</v>
      </c>
      <c r="D58" s="5" t="s">
        <v>978</v>
      </c>
    </row>
    <row r="59" customFormat="false" ht="23.85" hidden="false" customHeight="false" outlineLevel="0" collapsed="false">
      <c r="A59" s="5" t="n">
        <v>56</v>
      </c>
      <c r="B59" s="2" t="s">
        <v>979</v>
      </c>
      <c r="C59" s="2" t="s">
        <v>980</v>
      </c>
      <c r="D59" s="5" t="s">
        <v>981</v>
      </c>
    </row>
    <row r="60" customFormat="false" ht="15" hidden="false" customHeight="false" outlineLevel="0" collapsed="false">
      <c r="A60" s="5" t="n">
        <v>57</v>
      </c>
      <c r="B60" s="2" t="s">
        <v>982</v>
      </c>
      <c r="C60" s="2" t="s">
        <v>983</v>
      </c>
      <c r="D60" s="5" t="s">
        <v>984</v>
      </c>
    </row>
    <row r="61" customFormat="false" ht="15" hidden="false" customHeight="false" outlineLevel="0" collapsed="false">
      <c r="A61" s="5" t="n">
        <v>58</v>
      </c>
      <c r="B61" s="2" t="s">
        <v>985</v>
      </c>
      <c r="C61" s="2" t="s">
        <v>986</v>
      </c>
      <c r="D61" s="5" t="s">
        <v>987</v>
      </c>
    </row>
    <row r="62" customFormat="false" ht="15" hidden="false" customHeight="false" outlineLevel="0" collapsed="false">
      <c r="A62" s="5" t="n">
        <v>59</v>
      </c>
      <c r="B62" s="2" t="s">
        <v>988</v>
      </c>
      <c r="C62" s="2" t="s">
        <v>989</v>
      </c>
      <c r="D62" s="5" t="s">
        <v>990</v>
      </c>
    </row>
    <row r="63" customFormat="false" ht="23.85" hidden="false" customHeight="false" outlineLevel="0" collapsed="false">
      <c r="A63" s="5" t="n">
        <v>60</v>
      </c>
      <c r="B63" s="2" t="s">
        <v>991</v>
      </c>
      <c r="C63" s="2" t="s">
        <v>992</v>
      </c>
      <c r="D63" s="5" t="s">
        <v>993</v>
      </c>
    </row>
    <row r="64" customFormat="false" ht="23.85" hidden="false" customHeight="false" outlineLevel="0" collapsed="false">
      <c r="A64" s="5" t="n">
        <v>61</v>
      </c>
      <c r="B64" s="2" t="s">
        <v>994</v>
      </c>
      <c r="C64" s="2" t="s">
        <v>995</v>
      </c>
      <c r="D64" s="5" t="s">
        <v>996</v>
      </c>
    </row>
    <row r="65" customFormat="false" ht="23.85" hidden="false" customHeight="false" outlineLevel="0" collapsed="false">
      <c r="A65" s="5" t="n">
        <v>62</v>
      </c>
      <c r="B65" s="2" t="s">
        <v>997</v>
      </c>
      <c r="C65" s="2" t="s">
        <v>998</v>
      </c>
      <c r="D65" s="5" t="s">
        <v>999</v>
      </c>
    </row>
    <row r="66" customFormat="false" ht="23.85" hidden="false" customHeight="false" outlineLevel="0" collapsed="false">
      <c r="A66" s="5" t="n">
        <v>63</v>
      </c>
      <c r="B66" s="2" t="s">
        <v>1000</v>
      </c>
      <c r="C66" s="2" t="s">
        <v>1001</v>
      </c>
      <c r="D66" s="5" t="s">
        <v>1002</v>
      </c>
    </row>
    <row r="67" customFormat="false" ht="23.85" hidden="false" customHeight="false" outlineLevel="0" collapsed="false">
      <c r="A67" s="5" t="n">
        <v>64</v>
      </c>
      <c r="B67" s="2" t="s">
        <v>1003</v>
      </c>
      <c r="C67" s="2" t="s">
        <v>1004</v>
      </c>
      <c r="D67" s="5" t="s">
        <v>1005</v>
      </c>
    </row>
    <row r="68" customFormat="false" ht="15" hidden="false" customHeight="false" outlineLevel="0" collapsed="false">
      <c r="A68" s="5" t="n">
        <v>65</v>
      </c>
      <c r="B68" s="2" t="s">
        <v>1006</v>
      </c>
      <c r="C68" s="2" t="s">
        <v>1007</v>
      </c>
      <c r="D68" s="5" t="s">
        <v>1008</v>
      </c>
    </row>
    <row r="69" customFormat="false" ht="23.85" hidden="false" customHeight="false" outlineLevel="0" collapsed="false">
      <c r="A69" s="5" t="n">
        <v>66</v>
      </c>
      <c r="B69" s="2" t="s">
        <v>1009</v>
      </c>
      <c r="C69" s="2" t="s">
        <v>1010</v>
      </c>
      <c r="D69" s="5" t="s">
        <v>1011</v>
      </c>
    </row>
    <row r="70" customFormat="false" ht="15" hidden="false" customHeight="false" outlineLevel="0" collapsed="false">
      <c r="A70" s="5" t="n">
        <v>67</v>
      </c>
      <c r="B70" s="2" t="s">
        <v>1012</v>
      </c>
      <c r="C70" s="2" t="s">
        <v>1013</v>
      </c>
      <c r="D70" s="5" t="s">
        <v>1014</v>
      </c>
    </row>
    <row r="71" customFormat="false" ht="23.85" hidden="false" customHeight="false" outlineLevel="0" collapsed="false">
      <c r="A71" s="5" t="n">
        <v>68</v>
      </c>
      <c r="B71" s="2" t="s">
        <v>1015</v>
      </c>
      <c r="C71" s="2" t="s">
        <v>1016</v>
      </c>
      <c r="D71" s="5" t="s">
        <v>1017</v>
      </c>
    </row>
    <row r="72" customFormat="false" ht="15" hidden="false" customHeight="false" outlineLevel="0" collapsed="false">
      <c r="A72" s="5" t="n">
        <v>69</v>
      </c>
      <c r="B72" s="2" t="s">
        <v>1018</v>
      </c>
      <c r="C72" s="2" t="s">
        <v>1019</v>
      </c>
      <c r="D72" s="5" t="s">
        <v>1020</v>
      </c>
    </row>
    <row r="73" customFormat="false" ht="15" hidden="false" customHeight="false" outlineLevel="0" collapsed="false">
      <c r="A73" s="5" t="n">
        <v>70</v>
      </c>
      <c r="B73" s="2" t="s">
        <v>1021</v>
      </c>
      <c r="C73" s="2" t="s">
        <v>1022</v>
      </c>
      <c r="D73" s="5" t="s">
        <v>1023</v>
      </c>
    </row>
    <row r="74" customFormat="false" ht="23.85" hidden="false" customHeight="false" outlineLevel="0" collapsed="false">
      <c r="A74" s="5" t="n">
        <v>71</v>
      </c>
      <c r="B74" s="2" t="s">
        <v>1024</v>
      </c>
      <c r="C74" s="2" t="s">
        <v>1025</v>
      </c>
      <c r="D74" s="5" t="s">
        <v>1026</v>
      </c>
    </row>
    <row r="75" customFormat="false" ht="15" hidden="false" customHeight="false" outlineLevel="0" collapsed="false">
      <c r="A75" s="5" t="n">
        <v>72</v>
      </c>
      <c r="B75" s="2" t="s">
        <v>1027</v>
      </c>
      <c r="C75" s="2" t="s">
        <v>1028</v>
      </c>
      <c r="D75" s="5" t="s">
        <v>1029</v>
      </c>
    </row>
    <row r="76" customFormat="false" ht="15" hidden="false" customHeight="false" outlineLevel="0" collapsed="false">
      <c r="A76" s="5" t="n">
        <v>73</v>
      </c>
      <c r="B76" s="2" t="s">
        <v>1030</v>
      </c>
      <c r="C76" s="2" t="s">
        <v>1031</v>
      </c>
      <c r="D76" s="5" t="s">
        <v>1032</v>
      </c>
    </row>
    <row r="77" customFormat="false" ht="15" hidden="false" customHeight="false" outlineLevel="0" collapsed="false">
      <c r="A77" s="5" t="n">
        <v>74</v>
      </c>
      <c r="B77" s="2" t="s">
        <v>1033</v>
      </c>
      <c r="C77" s="2" t="s">
        <v>1034</v>
      </c>
      <c r="D77" s="5" t="s">
        <v>1035</v>
      </c>
    </row>
    <row r="78" customFormat="false" ht="15" hidden="false" customHeight="false" outlineLevel="0" collapsed="false">
      <c r="A78" s="5" t="n">
        <v>75</v>
      </c>
      <c r="B78" s="2" t="s">
        <v>1036</v>
      </c>
      <c r="C78" s="2" t="s">
        <v>1037</v>
      </c>
      <c r="D78" s="5" t="s">
        <v>1038</v>
      </c>
    </row>
    <row r="79" customFormat="false" ht="15" hidden="false" customHeight="false" outlineLevel="0" collapsed="false">
      <c r="A79" s="5" t="n">
        <v>76</v>
      </c>
      <c r="B79" s="2" t="s">
        <v>1039</v>
      </c>
      <c r="C79" s="2" t="s">
        <v>1040</v>
      </c>
      <c r="D79" s="5" t="s">
        <v>1041</v>
      </c>
    </row>
    <row r="80" customFormat="false" ht="15" hidden="false" customHeight="false" outlineLevel="0" collapsed="false">
      <c r="A80" s="5" t="n">
        <v>77</v>
      </c>
      <c r="B80" s="2" t="s">
        <v>1042</v>
      </c>
      <c r="C80" s="2" t="s">
        <v>1043</v>
      </c>
      <c r="D80" s="5" t="s">
        <v>1044</v>
      </c>
    </row>
    <row r="81" customFormat="false" ht="15" hidden="false" customHeight="false" outlineLevel="0" collapsed="false">
      <c r="A81" s="5" t="n">
        <v>78</v>
      </c>
      <c r="B81" s="2" t="s">
        <v>1045</v>
      </c>
      <c r="C81" s="2" t="s">
        <v>1046</v>
      </c>
      <c r="D81" s="5" t="s">
        <v>1047</v>
      </c>
    </row>
    <row r="82" customFormat="false" ht="23.85" hidden="false" customHeight="false" outlineLevel="0" collapsed="false">
      <c r="A82" s="5" t="n">
        <v>79</v>
      </c>
      <c r="B82" s="2" t="s">
        <v>1048</v>
      </c>
      <c r="C82" s="2" t="s">
        <v>1049</v>
      </c>
      <c r="D82" s="5" t="s">
        <v>1050</v>
      </c>
    </row>
    <row r="83" customFormat="false" ht="15" hidden="false" customHeight="false" outlineLevel="0" collapsed="false">
      <c r="A83" s="5" t="n">
        <v>80</v>
      </c>
      <c r="B83" s="2" t="s">
        <v>1051</v>
      </c>
      <c r="C83" s="2" t="s">
        <v>1052</v>
      </c>
      <c r="D83" s="5" t="s">
        <v>1053</v>
      </c>
    </row>
    <row r="84" customFormat="false" ht="23.85" hidden="false" customHeight="false" outlineLevel="0" collapsed="false">
      <c r="A84" s="5" t="n">
        <v>81</v>
      </c>
      <c r="B84" s="2" t="s">
        <v>1054</v>
      </c>
      <c r="C84" s="2" t="s">
        <v>1055</v>
      </c>
      <c r="D84" s="5" t="s">
        <v>1056</v>
      </c>
    </row>
    <row r="85" customFormat="false" ht="23.85" hidden="false" customHeight="false" outlineLevel="0" collapsed="false">
      <c r="A85" s="5" t="n">
        <v>82</v>
      </c>
      <c r="B85" s="2" t="s">
        <v>1057</v>
      </c>
      <c r="C85" s="2" t="s">
        <v>1058</v>
      </c>
      <c r="D85" s="5" t="s">
        <v>1059</v>
      </c>
    </row>
    <row r="86" customFormat="false" ht="23.85" hidden="false" customHeight="false" outlineLevel="0" collapsed="false">
      <c r="A86" s="5" t="n">
        <v>83</v>
      </c>
      <c r="B86" s="2" t="s">
        <v>1060</v>
      </c>
      <c r="C86" s="2" t="s">
        <v>1061</v>
      </c>
      <c r="D86" s="5" t="s">
        <v>1062</v>
      </c>
    </row>
    <row r="87" customFormat="false" ht="23.85" hidden="false" customHeight="false" outlineLevel="0" collapsed="false">
      <c r="A87" s="5" t="n">
        <v>84</v>
      </c>
      <c r="B87" s="2" t="s">
        <v>1063</v>
      </c>
      <c r="C87" s="2" t="s">
        <v>1064</v>
      </c>
      <c r="D87" s="5" t="s">
        <v>1065</v>
      </c>
    </row>
    <row r="88" customFormat="false" ht="35.05" hidden="false" customHeight="false" outlineLevel="0" collapsed="false">
      <c r="A88" s="5" t="n">
        <v>85</v>
      </c>
      <c r="B88" s="2" t="s">
        <v>1066</v>
      </c>
      <c r="C88" s="2" t="s">
        <v>1067</v>
      </c>
      <c r="D88" s="5" t="s">
        <v>1068</v>
      </c>
    </row>
    <row r="89" customFormat="false" ht="23.85" hidden="false" customHeight="false" outlineLevel="0" collapsed="false">
      <c r="A89" s="5" t="n">
        <v>86</v>
      </c>
      <c r="B89" s="2" t="s">
        <v>1069</v>
      </c>
      <c r="C89" s="2" t="s">
        <v>1070</v>
      </c>
      <c r="D89" s="5" t="s">
        <v>1071</v>
      </c>
    </row>
    <row r="90" customFormat="false" ht="15" hidden="false" customHeight="false" outlineLevel="0" collapsed="false">
      <c r="A90" s="5" t="n">
        <v>87</v>
      </c>
      <c r="B90" s="2" t="s">
        <v>1072</v>
      </c>
      <c r="C90" s="2" t="s">
        <v>1073</v>
      </c>
      <c r="D90" s="5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2026-10-19T10:15:01Z</dcterms:created>
  <dc:creator>openpyxl</dc:creator>
  <dc:description/>
  <dc:language>en-US</dc:language>
  <cp:lastModifiedBy/>
  <dcterms:modified xsi:type="dcterms:W3CDTF">2026-10-19T12:15:16Z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